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hidePivotFieldList="1" defaultThemeVersion="166925"/>
  <xr:revisionPtr revIDLastSave="0" documentId="8_{3F0DB73F-A826-4804-89BD-DEDE01B6B68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DATA" sheetId="1" r:id="rId1"/>
    <sheet name="PIVOT_REGION" sheetId="3" r:id="rId2"/>
    <sheet name="PIVOT_CATEGORY" sheetId="8" r:id="rId3"/>
    <sheet name="PIVOT_DATE" sheetId="5" r:id="rId4"/>
    <sheet name="DASHBOARD" sheetId="6" r:id="rId5"/>
  </sheets>
  <externalReferences>
    <externalReference r:id="rId6"/>
  </externalReferences>
  <calcPr calcId="191028"/>
  <pivotCaches>
    <pivotCache cacheId="157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G5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<sst xmlns="http://schemas.openxmlformats.org/spreadsheetml/2006/main" count="286" uniqueCount="101">
  <si>
    <t>Order_ID</t>
  </si>
  <si>
    <t>Order_Date</t>
  </si>
  <si>
    <t>Region</t>
  </si>
  <si>
    <t>Category</t>
  </si>
  <si>
    <t>Product_Name</t>
  </si>
  <si>
    <t>SALES</t>
  </si>
  <si>
    <t>PROFIT</t>
  </si>
  <si>
    <t>COST</t>
  </si>
  <si>
    <t>SALES LEVEL</t>
  </si>
  <si>
    <t>East</t>
  </si>
  <si>
    <t>Furniture</t>
  </si>
  <si>
    <t>Office Chair</t>
  </si>
  <si>
    <t>HIGH</t>
  </si>
  <si>
    <t>West</t>
  </si>
  <si>
    <t>Technology</t>
  </si>
  <si>
    <t>Wireless Mouse</t>
  </si>
  <si>
    <t>LOW</t>
  </si>
  <si>
    <t>South</t>
  </si>
  <si>
    <t>Office Supplies</t>
  </si>
  <si>
    <t>Notebook Pack</t>
  </si>
  <si>
    <t>North</t>
  </si>
  <si>
    <t>USB Hub</t>
  </si>
  <si>
    <t>Study Table</t>
  </si>
  <si>
    <t>Paper Ream</t>
  </si>
  <si>
    <t>Keyboard</t>
  </si>
  <si>
    <t>Bookshelf</t>
  </si>
  <si>
    <t>Stapler</t>
  </si>
  <si>
    <t>External Hard Drive</t>
  </si>
  <si>
    <t>Coffee Table</t>
  </si>
  <si>
    <t>Whiteboard Markers</t>
  </si>
  <si>
    <t>13-02-2024</t>
  </si>
  <si>
    <t>Webcam</t>
  </si>
  <si>
    <t>14-02-2024</t>
  </si>
  <si>
    <t>Office Desk</t>
  </si>
  <si>
    <t>15-02-2024</t>
  </si>
  <si>
    <t>File Folder Set</t>
  </si>
  <si>
    <t>16-02-2024</t>
  </si>
  <si>
    <t>Bluetooth Speaker</t>
  </si>
  <si>
    <t>17-02-2024</t>
  </si>
  <si>
    <t>Recliner Chair</t>
  </si>
  <si>
    <t>18-02-2024</t>
  </si>
  <si>
    <t>Sticky Notes</t>
  </si>
  <si>
    <t>19-02-2024</t>
  </si>
  <si>
    <t>Laptop Stand</t>
  </si>
  <si>
    <t>20-02-2024</t>
  </si>
  <si>
    <t>Wardrobe Cabinet</t>
  </si>
  <si>
    <t>21-02-2024</t>
  </si>
  <si>
    <t>Punch Machine</t>
  </si>
  <si>
    <t>22-02-2024</t>
  </si>
  <si>
    <t>Power Bank</t>
  </si>
  <si>
    <t>23-02-2024</t>
  </si>
  <si>
    <t>Sofa Set</t>
  </si>
  <si>
    <t>24-02-2024</t>
  </si>
  <si>
    <t>Desk Organizer</t>
  </si>
  <si>
    <t>25-02-2024</t>
  </si>
  <si>
    <t>Monitor 24inch</t>
  </si>
  <si>
    <t>26-02-2024</t>
  </si>
  <si>
    <t>Computer Table</t>
  </si>
  <si>
    <t>27-02-2024</t>
  </si>
  <si>
    <t>Calculator</t>
  </si>
  <si>
    <t>28-02-2024</t>
  </si>
  <si>
    <t>Earbuds</t>
  </si>
  <si>
    <t>Filing Cabinet</t>
  </si>
  <si>
    <t>Paper Clips Box</t>
  </si>
  <si>
    <t>Portable SSD</t>
  </si>
  <si>
    <t>Dining Chair</t>
  </si>
  <si>
    <t>Envelope Pack</t>
  </si>
  <si>
    <t>Gaming Mouse</t>
  </si>
  <si>
    <t>Bedside Table</t>
  </si>
  <si>
    <t>Label Stickers</t>
  </si>
  <si>
    <t>Smart Watch</t>
  </si>
  <si>
    <t>TV Stand</t>
  </si>
  <si>
    <t>Printer Paper</t>
  </si>
  <si>
    <t>WiFi Router</t>
  </si>
  <si>
    <t>13-03-2024</t>
  </si>
  <si>
    <t>Lounge Chair</t>
  </si>
  <si>
    <t>14-03-2024</t>
  </si>
  <si>
    <t>Desk Calendar</t>
  </si>
  <si>
    <t>15-03-2024</t>
  </si>
  <si>
    <t>Microphone</t>
  </si>
  <si>
    <t>16-03-2024</t>
  </si>
  <si>
    <t>Shoe Rack</t>
  </si>
  <si>
    <t>17-03-2024</t>
  </si>
  <si>
    <t>Glue Stick Pack</t>
  </si>
  <si>
    <t>18-03-2024</t>
  </si>
  <si>
    <t>Tablet Stand</t>
  </si>
  <si>
    <t>19-03-2024</t>
  </si>
  <si>
    <t>Wooden Stool</t>
  </si>
  <si>
    <t>20-03-2024</t>
  </si>
  <si>
    <t>Highlighter Set</t>
  </si>
  <si>
    <t>21-03-2024</t>
  </si>
  <si>
    <t>HDMI Cable</t>
  </si>
  <si>
    <t>22-03-2024</t>
  </si>
  <si>
    <t>Corner Table</t>
  </si>
  <si>
    <t xml:space="preserve">                                                                       TOTAL</t>
  </si>
  <si>
    <t>Sum of SALES</t>
  </si>
  <si>
    <t>(blank)</t>
  </si>
  <si>
    <t>Grand Total</t>
  </si>
  <si>
    <t>Sum of PROFIT</t>
  </si>
  <si>
    <t>TOTAL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</si>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</sst>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4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0" fillId="0" borderId="0" xfId="0" applyBorder="1"/>
    <xf numFmtId="0" fontId="1" fillId="0" borderId="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21">
    <dxf>
      <font>
        <color theme="0"/>
      </font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Dashboard.xlsx]PIVOT_REGION!PivotTable1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CD-4FAD-83C3-82B750F7FD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CD-4FAD-83C3-82B750F7FD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CD-4FAD-83C3-82B750F7FD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CD-4FAD-83C3-82B750F7FD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CD-4FAD-83C3-82B750F7FDE3}"/>
              </c:ext>
            </c:extLst>
          </c:dPt>
          <c:cat>
            <c:strRef>
              <c:f>PIVOT_REGION!$A$4:$A$9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PIVOT_REGION!$B$4:$B$9</c:f>
              <c:numCache>
                <c:formatCode>General</c:formatCode>
                <c:ptCount val="5"/>
                <c:pt idx="0">
                  <c:v>4498</c:v>
                </c:pt>
                <c:pt idx="1">
                  <c:v>3190</c:v>
                </c:pt>
                <c:pt idx="2">
                  <c:v>3605</c:v>
                </c:pt>
                <c:pt idx="3">
                  <c:v>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2D-42AE-9693-E70D39A25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[1]PIVOT_CATEGORY!$B$3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  <c:pt idx="3">
                <c:v>TOTAL</c:v>
              </c:pt>
            </c:strLit>
          </c:cat>
          <c:val>
            <c:numLit>
              <c:formatCode>General</c:formatCode>
              <c:ptCount val="4"/>
              <c:pt idx="0">
                <c:v>1855</c:v>
              </c:pt>
              <c:pt idx="1">
                <c:v>222</c:v>
              </c:pt>
              <c:pt idx="2">
                <c:v>1204</c:v>
              </c:pt>
              <c:pt idx="3">
                <c:v>3281</c:v>
              </c:pt>
            </c:numLit>
          </c:val>
          <c:extLst>
            <c:ext xmlns:c16="http://schemas.microsoft.com/office/drawing/2014/chart" uri="{C3380CC4-5D6E-409C-BE32-E72D297353CC}">
              <c16:uniqueId val="{00000000-28C6-43AA-9DF9-67FC65A31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967879"/>
        <c:axId val="1157969927"/>
      </c:barChart>
      <c:catAx>
        <c:axId val="1157967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969927"/>
        <c:crosses val="autoZero"/>
        <c:auto val="1"/>
        <c:lblAlgn val="ctr"/>
        <c:lblOffset val="100"/>
        <c:noMultiLvlLbl val="0"/>
      </c:catAx>
      <c:valAx>
        <c:axId val="1157969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967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DEDED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Dashboard.xlsx]PIVOT_DATE!PivotTable3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PIVOT_DATE!$B$3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PIVOT_DATE!$A$4:$A$55</c:f>
              <c:strCache>
                <c:ptCount val="51"/>
                <c:pt idx="0">
                  <c:v>13-02-2024</c:v>
                </c:pt>
                <c:pt idx="1">
                  <c:v>13-03-2024</c:v>
                </c:pt>
                <c:pt idx="2">
                  <c:v>14-02-2024</c:v>
                </c:pt>
                <c:pt idx="3">
                  <c:v>14-03-2024</c:v>
                </c:pt>
                <c:pt idx="4">
                  <c:v>15-02-2024</c:v>
                </c:pt>
                <c:pt idx="5">
                  <c:v>15-03-2024</c:v>
                </c:pt>
                <c:pt idx="6">
                  <c:v>16-02-2024</c:v>
                </c:pt>
                <c:pt idx="7">
                  <c:v>16-03-2024</c:v>
                </c:pt>
                <c:pt idx="8">
                  <c:v>17-02-2024</c:v>
                </c:pt>
                <c:pt idx="9">
                  <c:v>17-03-2024</c:v>
                </c:pt>
                <c:pt idx="10">
                  <c:v>18-02-2024</c:v>
                </c:pt>
                <c:pt idx="11">
                  <c:v>18-03-2024</c:v>
                </c:pt>
                <c:pt idx="12">
                  <c:v>19-02-2024</c:v>
                </c:pt>
                <c:pt idx="13">
                  <c:v>19-03-2024</c:v>
                </c:pt>
                <c:pt idx="14">
                  <c:v>20-02-2024</c:v>
                </c:pt>
                <c:pt idx="15">
                  <c:v>20-03-2024</c:v>
                </c:pt>
                <c:pt idx="16">
                  <c:v>21-02-2024</c:v>
                </c:pt>
                <c:pt idx="17">
                  <c:v>21-03-2024</c:v>
                </c:pt>
                <c:pt idx="18">
                  <c:v>22-02-2024</c:v>
                </c:pt>
                <c:pt idx="19">
                  <c:v>22-03-2024</c:v>
                </c:pt>
                <c:pt idx="20">
                  <c:v>23-02-2024</c:v>
                </c:pt>
                <c:pt idx="21">
                  <c:v>24-02-2024</c:v>
                </c:pt>
                <c:pt idx="22">
                  <c:v>25-02-2024</c:v>
                </c:pt>
                <c:pt idx="23">
                  <c:v>26-02-2024</c:v>
                </c:pt>
                <c:pt idx="24">
                  <c:v>27-02-2024</c:v>
                </c:pt>
                <c:pt idx="25">
                  <c:v>28-02-2024</c:v>
                </c:pt>
                <c:pt idx="26">
                  <c:v>1/2/2024</c:v>
                </c:pt>
                <c:pt idx="27">
                  <c:v>1/3/2024</c:v>
                </c:pt>
                <c:pt idx="28">
                  <c:v>2/2/2024</c:v>
                </c:pt>
                <c:pt idx="29">
                  <c:v>2/3/2024</c:v>
                </c:pt>
                <c:pt idx="30">
                  <c:v>3/2/2024</c:v>
                </c:pt>
                <c:pt idx="31">
                  <c:v>3/3/2024</c:v>
                </c:pt>
                <c:pt idx="32">
                  <c:v>4/2/2024</c:v>
                </c:pt>
                <c:pt idx="33">
                  <c:v>4/3/2024</c:v>
                </c:pt>
                <c:pt idx="34">
                  <c:v>5/2/2024</c:v>
                </c:pt>
                <c:pt idx="35">
                  <c:v>5/3/2024</c:v>
                </c:pt>
                <c:pt idx="36">
                  <c:v>6/2/2024</c:v>
                </c:pt>
                <c:pt idx="37">
                  <c:v>6/3/2024</c:v>
                </c:pt>
                <c:pt idx="38">
                  <c:v>7/2/2024</c:v>
                </c:pt>
                <c:pt idx="39">
                  <c:v>7/3/2024</c:v>
                </c:pt>
                <c:pt idx="40">
                  <c:v>8/2/2024</c:v>
                </c:pt>
                <c:pt idx="41">
                  <c:v>8/3/2024</c:v>
                </c:pt>
                <c:pt idx="42">
                  <c:v>9/2/2024</c:v>
                </c:pt>
                <c:pt idx="43">
                  <c:v>9/3/2024</c:v>
                </c:pt>
                <c:pt idx="44">
                  <c:v>10/2/2024</c:v>
                </c:pt>
                <c:pt idx="45">
                  <c:v>10/3/2024</c:v>
                </c:pt>
                <c:pt idx="46">
                  <c:v>11/2/2024</c:v>
                </c:pt>
                <c:pt idx="47">
                  <c:v>11/3/2024</c:v>
                </c:pt>
                <c:pt idx="48">
                  <c:v>12/2/2024</c:v>
                </c:pt>
                <c:pt idx="49">
                  <c:v>12/3/2024</c:v>
                </c:pt>
                <c:pt idx="50">
                  <c:v>(blank)</c:v>
                </c:pt>
              </c:strCache>
            </c:strRef>
          </c:cat>
          <c:val>
            <c:numRef>
              <c:f>PIVOT_DATE!$B$4:$B$55</c:f>
              <c:numCache>
                <c:formatCode>General</c:formatCode>
                <c:ptCount val="51"/>
                <c:pt idx="0">
                  <c:v>250</c:v>
                </c:pt>
                <c:pt idx="1">
                  <c:v>610</c:v>
                </c:pt>
                <c:pt idx="2">
                  <c:v>800</c:v>
                </c:pt>
                <c:pt idx="3">
                  <c:v>20</c:v>
                </c:pt>
                <c:pt idx="4">
                  <c:v>70</c:v>
                </c:pt>
                <c:pt idx="5">
                  <c:v>270</c:v>
                </c:pt>
                <c:pt idx="6">
                  <c:v>300</c:v>
                </c:pt>
                <c:pt idx="7">
                  <c:v>310</c:v>
                </c:pt>
                <c:pt idx="8">
                  <c:v>650</c:v>
                </c:pt>
                <c:pt idx="9">
                  <c:v>28</c:v>
                </c:pt>
                <c:pt idx="10">
                  <c:v>35</c:v>
                </c:pt>
                <c:pt idx="11">
                  <c:v>190</c:v>
                </c:pt>
                <c:pt idx="12">
                  <c:v>220</c:v>
                </c:pt>
                <c:pt idx="13">
                  <c:v>140</c:v>
                </c:pt>
                <c:pt idx="14">
                  <c:v>900</c:v>
                </c:pt>
                <c:pt idx="15">
                  <c:v>35</c:v>
                </c:pt>
                <c:pt idx="16">
                  <c:v>55</c:v>
                </c:pt>
                <c:pt idx="17">
                  <c:v>60</c:v>
                </c:pt>
                <c:pt idx="18">
                  <c:v>180</c:v>
                </c:pt>
                <c:pt idx="19">
                  <c:v>270</c:v>
                </c:pt>
                <c:pt idx="20">
                  <c:v>1200</c:v>
                </c:pt>
                <c:pt idx="21">
                  <c:v>95</c:v>
                </c:pt>
                <c:pt idx="22">
                  <c:v>700</c:v>
                </c:pt>
                <c:pt idx="23">
                  <c:v>500</c:v>
                </c:pt>
                <c:pt idx="24">
                  <c:v>110</c:v>
                </c:pt>
                <c:pt idx="25">
                  <c:v>210</c:v>
                </c:pt>
                <c:pt idx="26">
                  <c:v>450</c:v>
                </c:pt>
                <c:pt idx="27">
                  <c:v>430</c:v>
                </c:pt>
                <c:pt idx="28">
                  <c:v>120</c:v>
                </c:pt>
                <c:pt idx="29">
                  <c:v>25</c:v>
                </c:pt>
                <c:pt idx="30">
                  <c:v>80</c:v>
                </c:pt>
                <c:pt idx="31">
                  <c:v>550</c:v>
                </c:pt>
                <c:pt idx="32">
                  <c:v>150</c:v>
                </c:pt>
                <c:pt idx="33">
                  <c:v>300</c:v>
                </c:pt>
                <c:pt idx="34">
                  <c:v>700</c:v>
                </c:pt>
                <c:pt idx="35">
                  <c:v>45</c:v>
                </c:pt>
                <c:pt idx="36">
                  <c:v>60</c:v>
                </c:pt>
                <c:pt idx="37">
                  <c:v>260</c:v>
                </c:pt>
                <c:pt idx="38">
                  <c:v>200</c:v>
                </c:pt>
                <c:pt idx="39">
                  <c:v>340</c:v>
                </c:pt>
                <c:pt idx="40">
                  <c:v>550</c:v>
                </c:pt>
                <c:pt idx="41">
                  <c:v>30</c:v>
                </c:pt>
                <c:pt idx="42">
                  <c:v>40</c:v>
                </c:pt>
                <c:pt idx="43">
                  <c:v>480</c:v>
                </c:pt>
                <c:pt idx="44">
                  <c:v>600</c:v>
                </c:pt>
                <c:pt idx="45">
                  <c:v>390</c:v>
                </c:pt>
                <c:pt idx="46">
                  <c:v>350</c:v>
                </c:pt>
                <c:pt idx="47">
                  <c:v>75</c:v>
                </c:pt>
                <c:pt idx="48">
                  <c:v>90</c:v>
                </c:pt>
                <c:pt idx="49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7-412D-B626-DE1A2247B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721991"/>
        <c:axId val="1095724039"/>
      </c:lineChart>
      <c:catAx>
        <c:axId val="1095721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724039"/>
        <c:crosses val="autoZero"/>
        <c:auto val="1"/>
        <c:lblAlgn val="ctr"/>
        <c:lblOffset val="100"/>
        <c:noMultiLvlLbl val="0"/>
      </c:catAx>
      <c:valAx>
        <c:axId val="1095724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721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DD7E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Dashboard.xlsx]PIVOT_REGION!PivotTable1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81-42AB-BFEF-ECA8E384A4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81-42AB-BFEF-ECA8E384A4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81-42AB-BFEF-ECA8E384A4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81-42AB-BFEF-ECA8E384A4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81-42AB-BFEF-ECA8E384A4AD}"/>
              </c:ext>
            </c:extLst>
          </c:dPt>
          <c:cat>
            <c:strRef>
              <c:f>PIVOT_REGION!$A$4:$A$9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PIVOT_REGION!$B$4:$B$9</c:f>
              <c:numCache>
                <c:formatCode>General</c:formatCode>
                <c:ptCount val="5"/>
                <c:pt idx="0">
                  <c:v>4498</c:v>
                </c:pt>
                <c:pt idx="1">
                  <c:v>3190</c:v>
                </c:pt>
                <c:pt idx="2">
                  <c:v>3605</c:v>
                </c:pt>
                <c:pt idx="3">
                  <c:v>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81-42AB-BFEF-ECA8E384A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  <c:pt idx="3">
                <c:v>TOTAL</c:v>
              </c:pt>
            </c:strLit>
          </c:cat>
          <c:val>
            <c:numLit>
              <c:formatCode>General</c:formatCode>
              <c:ptCount val="4"/>
              <c:pt idx="0">
                <c:v>1855</c:v>
              </c:pt>
              <c:pt idx="1">
                <c:v>222</c:v>
              </c:pt>
              <c:pt idx="2">
                <c:v>1204</c:v>
              </c:pt>
              <c:pt idx="3">
                <c:v>3281</c:v>
              </c:pt>
            </c:numLit>
          </c:val>
          <c:extLst>
            <c:ext xmlns:c16="http://schemas.microsoft.com/office/drawing/2014/chart" uri="{C3380CC4-5D6E-409C-BE32-E72D297353CC}">
              <c16:uniqueId val="{00000000-E9D6-4A67-BE05-A5C864B92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967879"/>
        <c:axId val="1157969927"/>
      </c:barChart>
      <c:catAx>
        <c:axId val="11579678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969927"/>
        <c:crosses val="autoZero"/>
        <c:auto val="1"/>
        <c:lblAlgn val="ctr"/>
        <c:lblOffset val="100"/>
        <c:noMultiLvlLbl val="0"/>
      </c:catAx>
      <c:valAx>
        <c:axId val="115796992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967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DEDED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Dashboard.xlsx]PIVOT_DATE!PivotTable3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PIVOT_DATE!$B$3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PIVOT_DATE!$A$4:$A$55</c:f>
              <c:strCache>
                <c:ptCount val="51"/>
                <c:pt idx="0">
                  <c:v>13-02-2024</c:v>
                </c:pt>
                <c:pt idx="1">
                  <c:v>13-03-2024</c:v>
                </c:pt>
                <c:pt idx="2">
                  <c:v>14-02-2024</c:v>
                </c:pt>
                <c:pt idx="3">
                  <c:v>14-03-2024</c:v>
                </c:pt>
                <c:pt idx="4">
                  <c:v>15-02-2024</c:v>
                </c:pt>
                <c:pt idx="5">
                  <c:v>15-03-2024</c:v>
                </c:pt>
                <c:pt idx="6">
                  <c:v>16-02-2024</c:v>
                </c:pt>
                <c:pt idx="7">
                  <c:v>16-03-2024</c:v>
                </c:pt>
                <c:pt idx="8">
                  <c:v>17-02-2024</c:v>
                </c:pt>
                <c:pt idx="9">
                  <c:v>17-03-2024</c:v>
                </c:pt>
                <c:pt idx="10">
                  <c:v>18-02-2024</c:v>
                </c:pt>
                <c:pt idx="11">
                  <c:v>18-03-2024</c:v>
                </c:pt>
                <c:pt idx="12">
                  <c:v>19-02-2024</c:v>
                </c:pt>
                <c:pt idx="13">
                  <c:v>19-03-2024</c:v>
                </c:pt>
                <c:pt idx="14">
                  <c:v>20-02-2024</c:v>
                </c:pt>
                <c:pt idx="15">
                  <c:v>20-03-2024</c:v>
                </c:pt>
                <c:pt idx="16">
                  <c:v>21-02-2024</c:v>
                </c:pt>
                <c:pt idx="17">
                  <c:v>21-03-2024</c:v>
                </c:pt>
                <c:pt idx="18">
                  <c:v>22-02-2024</c:v>
                </c:pt>
                <c:pt idx="19">
                  <c:v>22-03-2024</c:v>
                </c:pt>
                <c:pt idx="20">
                  <c:v>23-02-2024</c:v>
                </c:pt>
                <c:pt idx="21">
                  <c:v>24-02-2024</c:v>
                </c:pt>
                <c:pt idx="22">
                  <c:v>25-02-2024</c:v>
                </c:pt>
                <c:pt idx="23">
                  <c:v>26-02-2024</c:v>
                </c:pt>
                <c:pt idx="24">
                  <c:v>27-02-2024</c:v>
                </c:pt>
                <c:pt idx="25">
                  <c:v>28-02-2024</c:v>
                </c:pt>
                <c:pt idx="26">
                  <c:v>1/2/2024</c:v>
                </c:pt>
                <c:pt idx="27">
                  <c:v>1/3/2024</c:v>
                </c:pt>
                <c:pt idx="28">
                  <c:v>2/2/2024</c:v>
                </c:pt>
                <c:pt idx="29">
                  <c:v>2/3/2024</c:v>
                </c:pt>
                <c:pt idx="30">
                  <c:v>3/2/2024</c:v>
                </c:pt>
                <c:pt idx="31">
                  <c:v>3/3/2024</c:v>
                </c:pt>
                <c:pt idx="32">
                  <c:v>4/2/2024</c:v>
                </c:pt>
                <c:pt idx="33">
                  <c:v>4/3/2024</c:v>
                </c:pt>
                <c:pt idx="34">
                  <c:v>5/2/2024</c:v>
                </c:pt>
                <c:pt idx="35">
                  <c:v>5/3/2024</c:v>
                </c:pt>
                <c:pt idx="36">
                  <c:v>6/2/2024</c:v>
                </c:pt>
                <c:pt idx="37">
                  <c:v>6/3/2024</c:v>
                </c:pt>
                <c:pt idx="38">
                  <c:v>7/2/2024</c:v>
                </c:pt>
                <c:pt idx="39">
                  <c:v>7/3/2024</c:v>
                </c:pt>
                <c:pt idx="40">
                  <c:v>8/2/2024</c:v>
                </c:pt>
                <c:pt idx="41">
                  <c:v>8/3/2024</c:v>
                </c:pt>
                <c:pt idx="42">
                  <c:v>9/2/2024</c:v>
                </c:pt>
                <c:pt idx="43">
                  <c:v>9/3/2024</c:v>
                </c:pt>
                <c:pt idx="44">
                  <c:v>10/2/2024</c:v>
                </c:pt>
                <c:pt idx="45">
                  <c:v>10/3/2024</c:v>
                </c:pt>
                <c:pt idx="46">
                  <c:v>11/2/2024</c:v>
                </c:pt>
                <c:pt idx="47">
                  <c:v>11/3/2024</c:v>
                </c:pt>
                <c:pt idx="48">
                  <c:v>12/2/2024</c:v>
                </c:pt>
                <c:pt idx="49">
                  <c:v>12/3/2024</c:v>
                </c:pt>
                <c:pt idx="50">
                  <c:v>(blank)</c:v>
                </c:pt>
              </c:strCache>
            </c:strRef>
          </c:cat>
          <c:val>
            <c:numRef>
              <c:f>PIVOT_DATE!$B$4:$B$55</c:f>
              <c:numCache>
                <c:formatCode>General</c:formatCode>
                <c:ptCount val="51"/>
                <c:pt idx="0">
                  <c:v>250</c:v>
                </c:pt>
                <c:pt idx="1">
                  <c:v>610</c:v>
                </c:pt>
                <c:pt idx="2">
                  <c:v>800</c:v>
                </c:pt>
                <c:pt idx="3">
                  <c:v>20</c:v>
                </c:pt>
                <c:pt idx="4">
                  <c:v>70</c:v>
                </c:pt>
                <c:pt idx="5">
                  <c:v>270</c:v>
                </c:pt>
                <c:pt idx="6">
                  <c:v>300</c:v>
                </c:pt>
                <c:pt idx="7">
                  <c:v>310</c:v>
                </c:pt>
                <c:pt idx="8">
                  <c:v>650</c:v>
                </c:pt>
                <c:pt idx="9">
                  <c:v>28</c:v>
                </c:pt>
                <c:pt idx="10">
                  <c:v>35</c:v>
                </c:pt>
                <c:pt idx="11">
                  <c:v>190</c:v>
                </c:pt>
                <c:pt idx="12">
                  <c:v>220</c:v>
                </c:pt>
                <c:pt idx="13">
                  <c:v>140</c:v>
                </c:pt>
                <c:pt idx="14">
                  <c:v>900</c:v>
                </c:pt>
                <c:pt idx="15">
                  <c:v>35</c:v>
                </c:pt>
                <c:pt idx="16">
                  <c:v>55</c:v>
                </c:pt>
                <c:pt idx="17">
                  <c:v>60</c:v>
                </c:pt>
                <c:pt idx="18">
                  <c:v>180</c:v>
                </c:pt>
                <c:pt idx="19">
                  <c:v>270</c:v>
                </c:pt>
                <c:pt idx="20">
                  <c:v>1200</c:v>
                </c:pt>
                <c:pt idx="21">
                  <c:v>95</c:v>
                </c:pt>
                <c:pt idx="22">
                  <c:v>700</c:v>
                </c:pt>
                <c:pt idx="23">
                  <c:v>500</c:v>
                </c:pt>
                <c:pt idx="24">
                  <c:v>110</c:v>
                </c:pt>
                <c:pt idx="25">
                  <c:v>210</c:v>
                </c:pt>
                <c:pt idx="26">
                  <c:v>450</c:v>
                </c:pt>
                <c:pt idx="27">
                  <c:v>430</c:v>
                </c:pt>
                <c:pt idx="28">
                  <c:v>120</c:v>
                </c:pt>
                <c:pt idx="29">
                  <c:v>25</c:v>
                </c:pt>
                <c:pt idx="30">
                  <c:v>80</c:v>
                </c:pt>
                <c:pt idx="31">
                  <c:v>550</c:v>
                </c:pt>
                <c:pt idx="32">
                  <c:v>150</c:v>
                </c:pt>
                <c:pt idx="33">
                  <c:v>300</c:v>
                </c:pt>
                <c:pt idx="34">
                  <c:v>700</c:v>
                </c:pt>
                <c:pt idx="35">
                  <c:v>45</c:v>
                </c:pt>
                <c:pt idx="36">
                  <c:v>60</c:v>
                </c:pt>
                <c:pt idx="37">
                  <c:v>260</c:v>
                </c:pt>
                <c:pt idx="38">
                  <c:v>200</c:v>
                </c:pt>
                <c:pt idx="39">
                  <c:v>340</c:v>
                </c:pt>
                <c:pt idx="40">
                  <c:v>550</c:v>
                </c:pt>
                <c:pt idx="41">
                  <c:v>30</c:v>
                </c:pt>
                <c:pt idx="42">
                  <c:v>40</c:v>
                </c:pt>
                <c:pt idx="43">
                  <c:v>480</c:v>
                </c:pt>
                <c:pt idx="44">
                  <c:v>600</c:v>
                </c:pt>
                <c:pt idx="45">
                  <c:v>390</c:v>
                </c:pt>
                <c:pt idx="46">
                  <c:v>350</c:v>
                </c:pt>
                <c:pt idx="47">
                  <c:v>75</c:v>
                </c:pt>
                <c:pt idx="48">
                  <c:v>90</c:v>
                </c:pt>
                <c:pt idx="49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5-49DE-A8A3-D45BB297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721991"/>
        <c:axId val="1095724039"/>
      </c:lineChart>
      <c:catAx>
        <c:axId val="1095721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724039"/>
        <c:crosses val="autoZero"/>
        <c:auto val="1"/>
        <c:lblAlgn val="ctr"/>
        <c:lblOffset val="100"/>
        <c:noMultiLvlLbl val="0"/>
      </c:catAx>
      <c:valAx>
        <c:axId val="1095724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721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DD7E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161925</xdr:rowOff>
    </xdr:from>
    <xdr:to>
      <xdr:col>11</xdr:col>
      <xdr:colOff>295275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C6695-7444-6B6C-DE59-D3C026150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171450</xdr:rowOff>
    </xdr:from>
    <xdr:to>
      <xdr:col>10</xdr:col>
      <xdr:colOff>276225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878A9-0B88-4B57-81B2-3E03E43C715E}"/>
            </a:ext>
            <a:ext uri="{147F2762-F138-4A5C-976F-8EAC2B608ADB}">
              <a16:predDERef xmlns:a16="http://schemas.microsoft.com/office/drawing/2014/main" pred="{F671BC38-3CC5-4E8A-890F-AFC32CD8D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</xdr:row>
      <xdr:rowOff>123825</xdr:rowOff>
    </xdr:from>
    <xdr:to>
      <xdr:col>10</xdr:col>
      <xdr:colOff>323850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4EAE7-41E1-1BD5-AA7D-4C968D158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13</xdr:row>
      <xdr:rowOff>9525</xdr:rowOff>
    </xdr:from>
    <xdr:to>
      <xdr:col>7</xdr:col>
      <xdr:colOff>590550</xdr:colOff>
      <xdr:row>27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71BC38-3CC5-4E8A-890F-AFC32CD8D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161925</xdr:colOff>
      <xdr:row>12</xdr:row>
      <xdr:rowOff>161925</xdr:rowOff>
    </xdr:from>
    <xdr:to>
      <xdr:col>16</xdr:col>
      <xdr:colOff>466725</xdr:colOff>
      <xdr:row>27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64990E-C290-498A-8A0D-B41ECA0D4A70}"/>
            </a:ext>
            <a:ext uri="{147F2762-F138-4A5C-976F-8EAC2B608ADB}">
              <a16:predDERef xmlns:a16="http://schemas.microsoft.com/office/drawing/2014/main" pred="{F671BC38-3CC5-4E8A-890F-AFC32CD8D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13</xdr:row>
      <xdr:rowOff>0</xdr:rowOff>
    </xdr:from>
    <xdr:to>
      <xdr:col>25</xdr:col>
      <xdr:colOff>304800</xdr:colOff>
      <xdr:row>27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CB15B5-8FBD-4CEA-AA35-1A20783A3F5C}"/>
            </a:ext>
            <a:ext uri="{147F2762-F138-4A5C-976F-8EAC2B608ADB}">
              <a16:predDERef xmlns:a16="http://schemas.microsoft.com/office/drawing/2014/main" pred="{C064990E-C290-498A-8A0D-B41ECA0D4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_CATEGOR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_CATEGORY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7.822897337966" createdVersion="8" refreshedVersion="8" minRefreshableVersion="3" recordCount="51" xr:uid="{C914261C-3A34-4F73-99BF-E26837C63BC2}">
  <cacheSource type="worksheet">
    <worksheetSource ref="A1:I52" sheet="DATA"/>
  </cacheSource>
  <cacheFields count="9">
    <cacheField name="Order_ID" numFmtId="0">
      <sharedItems containsString="0" containsBlank="1" containsNumber="1" containsInteger="1" minValue="5001" maxValue="5050"/>
    </cacheField>
    <cacheField name="Order_Date" numFmtId="0">
      <sharedItems containsDate="1" containsBlank="1" containsMixedTypes="1" minDate="2024-01-02T00:00:00" maxDate="2024-12-04T00:00:00" count="51"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13-02-2024"/>
        <s v="14-02-2024"/>
        <s v="15-02-2024"/>
        <s v="16-02-2024"/>
        <s v="17-02-2024"/>
        <s v="18-02-2024"/>
        <s v="19-02-2024"/>
        <s v="20-02-2024"/>
        <s v="21-02-2024"/>
        <s v="22-02-2024"/>
        <s v="23-02-2024"/>
        <s v="24-02-2024"/>
        <s v="25-02-2024"/>
        <s v="26-02-2024"/>
        <s v="27-02-2024"/>
        <s v="28-02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13-03-2024"/>
        <s v="14-03-2024"/>
        <s v="15-03-2024"/>
        <s v="16-03-2024"/>
        <s v="17-03-2024"/>
        <s v="18-03-2024"/>
        <s v="19-03-2024"/>
        <s v="20-03-2024"/>
        <s v="21-03-2024"/>
        <s v="22-03-2024"/>
        <m/>
      </sharedItems>
    </cacheField>
    <cacheField name="Region" numFmtId="0">
      <sharedItems containsBlank="1" count="5">
        <s v="East"/>
        <s v="West"/>
        <s v="South"/>
        <s v="North"/>
        <m/>
      </sharedItems>
    </cacheField>
    <cacheField name="Category" numFmtId="0">
      <sharedItems count="4">
        <s v="Furniture"/>
        <s v="Technology"/>
        <s v="Office Supplies"/>
        <s v="TOTAL"/>
      </sharedItems>
    </cacheField>
    <cacheField name="Product_Name" numFmtId="0">
      <sharedItems containsBlank="1"/>
    </cacheField>
    <cacheField name="SALES" numFmtId="0">
      <sharedItems containsString="0" containsBlank="1" containsNumber="1" containsInteger="1" minValue="20" maxValue="1200"/>
    </cacheField>
    <cacheField name="PROFIT" numFmtId="0">
      <sharedItems containsSemiMixedTypes="0" containsString="0" containsNumber="1" containsInteger="1" minValue="5" maxValue="3281"/>
    </cacheField>
    <cacheField name="COST" numFmtId="0">
      <sharedItems containsSemiMixedTypes="0" containsString="0" containsNumber="1" containsInteger="1" minValue="15" maxValue="1491"/>
    </cacheField>
    <cacheField name="SALES LEV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5001"/>
    <x v="0"/>
    <x v="0"/>
    <x v="0"/>
    <s v="Office Chair"/>
    <n v="450"/>
    <n v="90"/>
    <n v="360"/>
    <s v="HIGH"/>
  </r>
  <r>
    <n v="5002"/>
    <x v="1"/>
    <x v="1"/>
    <x v="1"/>
    <s v="Wireless Mouse"/>
    <n v="120"/>
    <n v="35"/>
    <n v="85"/>
    <s v="LOW"/>
  </r>
  <r>
    <n v="5003"/>
    <x v="2"/>
    <x v="2"/>
    <x v="2"/>
    <s v="Notebook Pack"/>
    <n v="80"/>
    <n v="20"/>
    <n v="60"/>
    <s v="HIGH"/>
  </r>
  <r>
    <n v="5004"/>
    <x v="3"/>
    <x v="3"/>
    <x v="1"/>
    <s v="USB Hub"/>
    <n v="150"/>
    <n v="40"/>
    <n v="110"/>
    <s v="LOW"/>
  </r>
  <r>
    <n v="5005"/>
    <x v="4"/>
    <x v="0"/>
    <x v="0"/>
    <s v="Study Table"/>
    <n v="700"/>
    <n v="140"/>
    <n v="560"/>
    <s v="HIGH"/>
  </r>
  <r>
    <n v="5006"/>
    <x v="5"/>
    <x v="1"/>
    <x v="2"/>
    <s v="Paper Ream"/>
    <n v="60"/>
    <n v="15"/>
    <n v="45"/>
    <s v="LOW"/>
  </r>
  <r>
    <n v="5007"/>
    <x v="6"/>
    <x v="2"/>
    <x v="1"/>
    <s v="Keyboard"/>
    <n v="200"/>
    <n v="50"/>
    <n v="150"/>
    <s v="LOW"/>
  </r>
  <r>
    <n v="5008"/>
    <x v="7"/>
    <x v="3"/>
    <x v="0"/>
    <s v="Bookshelf"/>
    <n v="550"/>
    <n v="110"/>
    <n v="440"/>
    <s v="HIGH"/>
  </r>
  <r>
    <n v="5009"/>
    <x v="8"/>
    <x v="0"/>
    <x v="2"/>
    <s v="Stapler"/>
    <n v="40"/>
    <n v="10"/>
    <n v="30"/>
    <s v="LOW"/>
  </r>
  <r>
    <n v="5010"/>
    <x v="9"/>
    <x v="1"/>
    <x v="1"/>
    <s v="External Hard Drive"/>
    <n v="600"/>
    <n v="150"/>
    <n v="450"/>
    <s v="HIGH"/>
  </r>
  <r>
    <n v="5011"/>
    <x v="10"/>
    <x v="2"/>
    <x v="0"/>
    <s v="Coffee Table"/>
    <n v="350"/>
    <n v="70"/>
    <n v="280"/>
    <s v="HIGH"/>
  </r>
  <r>
    <n v="5012"/>
    <x v="11"/>
    <x v="3"/>
    <x v="2"/>
    <s v="Whiteboard Markers"/>
    <n v="90"/>
    <n v="22"/>
    <n v="68"/>
    <s v="LOW"/>
  </r>
  <r>
    <n v="5013"/>
    <x v="12"/>
    <x v="0"/>
    <x v="1"/>
    <s v="Webcam"/>
    <n v="250"/>
    <n v="65"/>
    <n v="185"/>
    <s v="HIGH"/>
  </r>
  <r>
    <n v="5014"/>
    <x v="13"/>
    <x v="1"/>
    <x v="0"/>
    <s v="Office Desk"/>
    <n v="800"/>
    <n v="160"/>
    <n v="640"/>
    <s v="HIGH"/>
  </r>
  <r>
    <n v="5015"/>
    <x v="14"/>
    <x v="2"/>
    <x v="2"/>
    <s v="File Folder Set"/>
    <n v="70"/>
    <n v="18"/>
    <n v="52"/>
    <s v="LOW"/>
  </r>
  <r>
    <n v="5016"/>
    <x v="15"/>
    <x v="3"/>
    <x v="1"/>
    <s v="Bluetooth Speaker"/>
    <n v="300"/>
    <n v="75"/>
    <n v="225"/>
    <s v="HIGH"/>
  </r>
  <r>
    <n v="5017"/>
    <x v="16"/>
    <x v="0"/>
    <x v="0"/>
    <s v="Recliner Chair"/>
    <n v="650"/>
    <n v="130"/>
    <n v="520"/>
    <s v="HIGH"/>
  </r>
  <r>
    <n v="5018"/>
    <x v="17"/>
    <x v="1"/>
    <x v="2"/>
    <s v="Sticky Notes"/>
    <n v="35"/>
    <n v="8"/>
    <n v="27"/>
    <s v="LOW"/>
  </r>
  <r>
    <n v="5019"/>
    <x v="18"/>
    <x v="2"/>
    <x v="1"/>
    <s v="Laptop Stand"/>
    <n v="220"/>
    <n v="55"/>
    <n v="165"/>
    <s v="HIGH"/>
  </r>
  <r>
    <n v="5020"/>
    <x v="19"/>
    <x v="3"/>
    <x v="0"/>
    <s v="Wardrobe Cabinet"/>
    <n v="900"/>
    <n v="180"/>
    <n v="720"/>
    <s v="HIGH"/>
  </r>
  <r>
    <n v="5021"/>
    <x v="20"/>
    <x v="0"/>
    <x v="2"/>
    <s v="Punch Machine"/>
    <n v="55"/>
    <n v="14"/>
    <n v="41"/>
    <s v="LOW"/>
  </r>
  <r>
    <n v="5022"/>
    <x v="21"/>
    <x v="1"/>
    <x v="1"/>
    <s v="Power Bank"/>
    <n v="180"/>
    <n v="45"/>
    <n v="135"/>
    <s v="LOW"/>
  </r>
  <r>
    <n v="5023"/>
    <x v="22"/>
    <x v="2"/>
    <x v="0"/>
    <s v="Sofa Set"/>
    <n v="1200"/>
    <n v="240"/>
    <n v="960"/>
    <s v="HIGH"/>
  </r>
  <r>
    <n v="5024"/>
    <x v="23"/>
    <x v="3"/>
    <x v="2"/>
    <s v="Desk Organizer"/>
    <n v="95"/>
    <n v="24"/>
    <n v="71"/>
    <s v="LOW"/>
  </r>
  <r>
    <n v="5025"/>
    <x v="24"/>
    <x v="0"/>
    <x v="1"/>
    <s v="Monitor 24inch"/>
    <n v="700"/>
    <n v="175"/>
    <n v="525"/>
    <s v="HIGH"/>
  </r>
  <r>
    <n v="5026"/>
    <x v="25"/>
    <x v="1"/>
    <x v="0"/>
    <s v="Computer Table"/>
    <n v="500"/>
    <n v="100"/>
    <n v="400"/>
    <s v="HIGH"/>
  </r>
  <r>
    <n v="5027"/>
    <x v="26"/>
    <x v="2"/>
    <x v="2"/>
    <s v="Calculator"/>
    <n v="110"/>
    <n v="28"/>
    <n v="82"/>
    <s v="LOW"/>
  </r>
  <r>
    <n v="5028"/>
    <x v="27"/>
    <x v="3"/>
    <x v="1"/>
    <s v="Earbuds"/>
    <n v="210"/>
    <n v="52"/>
    <n v="158"/>
    <s v="HIGH"/>
  </r>
  <r>
    <n v="5029"/>
    <x v="28"/>
    <x v="0"/>
    <x v="0"/>
    <s v="Filing Cabinet"/>
    <n v="430"/>
    <n v="90"/>
    <n v="340"/>
    <s v="HIGH"/>
  </r>
  <r>
    <n v="5030"/>
    <x v="29"/>
    <x v="1"/>
    <x v="2"/>
    <s v="Paper Clips Box"/>
    <n v="25"/>
    <n v="6"/>
    <n v="19"/>
    <s v="LOW"/>
  </r>
  <r>
    <n v="5031"/>
    <x v="30"/>
    <x v="2"/>
    <x v="1"/>
    <s v="Portable SSD"/>
    <n v="550"/>
    <n v="120"/>
    <n v="430"/>
    <s v="HIGH"/>
  </r>
  <r>
    <n v="5032"/>
    <x v="31"/>
    <x v="3"/>
    <x v="0"/>
    <s v="Dining Chair"/>
    <n v="300"/>
    <n v="70"/>
    <n v="230"/>
    <s v="HIGH"/>
  </r>
  <r>
    <n v="5033"/>
    <x v="32"/>
    <x v="0"/>
    <x v="2"/>
    <s v="Envelope Pack"/>
    <n v="45"/>
    <n v="12"/>
    <n v="33"/>
    <s v="LOW"/>
  </r>
  <r>
    <n v="5034"/>
    <x v="33"/>
    <x v="1"/>
    <x v="1"/>
    <s v="Gaming Mouse"/>
    <n v="260"/>
    <n v="60"/>
    <n v="200"/>
    <s v="HIGH"/>
  </r>
  <r>
    <n v="5035"/>
    <x v="34"/>
    <x v="2"/>
    <x v="0"/>
    <s v="Bedside Table"/>
    <n v="340"/>
    <n v="80"/>
    <n v="260"/>
    <s v="HIGH"/>
  </r>
  <r>
    <n v="5036"/>
    <x v="35"/>
    <x v="3"/>
    <x v="2"/>
    <s v="Label Stickers"/>
    <n v="30"/>
    <n v="7"/>
    <n v="23"/>
    <s v="LOW"/>
  </r>
  <r>
    <n v="5037"/>
    <x v="36"/>
    <x v="0"/>
    <x v="1"/>
    <s v="Smart Watch"/>
    <n v="480"/>
    <n v="110"/>
    <n v="370"/>
    <s v="HIGH"/>
  </r>
  <r>
    <n v="5038"/>
    <x v="37"/>
    <x v="1"/>
    <x v="0"/>
    <s v="TV Stand"/>
    <n v="390"/>
    <n v="95"/>
    <n v="295"/>
    <s v="HIGH"/>
  </r>
  <r>
    <n v="5039"/>
    <x v="38"/>
    <x v="2"/>
    <x v="2"/>
    <s v="Printer Paper"/>
    <n v="75"/>
    <n v="18"/>
    <n v="57"/>
    <s v="LOW"/>
  </r>
  <r>
    <n v="5040"/>
    <x v="39"/>
    <x v="3"/>
    <x v="1"/>
    <s v="WiFi Router"/>
    <n v="220"/>
    <n v="50"/>
    <n v="170"/>
    <s v="HIGH"/>
  </r>
  <r>
    <n v="5041"/>
    <x v="40"/>
    <x v="0"/>
    <x v="0"/>
    <s v="Lounge Chair"/>
    <n v="610"/>
    <n v="140"/>
    <n v="470"/>
    <s v="HIGH"/>
  </r>
  <r>
    <n v="5042"/>
    <x v="41"/>
    <x v="1"/>
    <x v="2"/>
    <s v="Desk Calendar"/>
    <n v="20"/>
    <n v="5"/>
    <n v="15"/>
    <s v="LOW"/>
  </r>
  <r>
    <n v="5043"/>
    <x v="42"/>
    <x v="2"/>
    <x v="1"/>
    <s v="Microphone"/>
    <n v="270"/>
    <n v="65"/>
    <n v="205"/>
    <s v="HIGH"/>
  </r>
  <r>
    <n v="5044"/>
    <x v="43"/>
    <x v="3"/>
    <x v="0"/>
    <s v="Shoe Rack"/>
    <n v="310"/>
    <n v="70"/>
    <n v="240"/>
    <s v="HIGH"/>
  </r>
  <r>
    <n v="5045"/>
    <x v="44"/>
    <x v="0"/>
    <x v="2"/>
    <s v="Glue Stick Pack"/>
    <n v="28"/>
    <n v="6"/>
    <n v="22"/>
    <s v="LOW"/>
  </r>
  <r>
    <n v="5046"/>
    <x v="45"/>
    <x v="1"/>
    <x v="1"/>
    <s v="Tablet Stand"/>
    <n v="190"/>
    <n v="42"/>
    <n v="148"/>
    <s v="LOW"/>
  </r>
  <r>
    <n v="5047"/>
    <x v="46"/>
    <x v="2"/>
    <x v="0"/>
    <s v="Wooden Stool"/>
    <n v="140"/>
    <n v="30"/>
    <n v="110"/>
    <s v="LOW"/>
  </r>
  <r>
    <n v="5048"/>
    <x v="47"/>
    <x v="3"/>
    <x v="2"/>
    <s v="Highlighter Set"/>
    <n v="35"/>
    <n v="9"/>
    <n v="26"/>
    <s v="LOW"/>
  </r>
  <r>
    <n v="5049"/>
    <x v="48"/>
    <x v="0"/>
    <x v="1"/>
    <s v="HDMI Cable"/>
    <n v="60"/>
    <n v="15"/>
    <n v="45"/>
    <s v="LOW"/>
  </r>
  <r>
    <n v="5050"/>
    <x v="49"/>
    <x v="1"/>
    <x v="0"/>
    <s v="Corner Table"/>
    <n v="270"/>
    <n v="60"/>
    <n v="210"/>
    <s v="HIGH"/>
  </r>
  <r>
    <m/>
    <x v="50"/>
    <x v="4"/>
    <x v="3"/>
    <m/>
    <m/>
    <n v="3281"/>
    <n v="149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EDFE3-8DBF-4A86-9BF0-59F268667965}" name="PivotTable1" cacheId="15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B9" firstHeaderRow="1" firstDataRow="1" firstDataCol="1"/>
  <pivotFields count="9">
    <pivotField compact="0" outline="0" showAll="0"/>
    <pivotField compact="0" outline="0" showAll="0"/>
    <pivotField axis="axisRow"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formats count="6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2" type="button" dataOnly="0" labelOnly="1" outline="0" axis="axisRow" fieldPosition="0"/>
    </format>
    <format dxfId="18">
      <pivotArea dataOnly="0" labelOnly="1" outline="0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20">
      <pivotArea dataOnly="0" labelOnly="1" outline="0" axis="axisValues" fieldPosition="0"/>
    </format>
  </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BE369-3907-4B1E-96A2-B849099AF539}" name="PivotTable5" cacheId="15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formats count="6">
    <format dxfId="9">
      <pivotArea type="all" dataOnly="0" outline="0" fieldPosition="0"/>
    </format>
    <format dxfId="10">
      <pivotArea outline="0" collapsedLevelsAreSubtotals="1" fieldPosition="0"/>
    </format>
    <format dxfId="11">
      <pivotArea field="3" type="button" dataOnly="0" labelOnly="1" outline="0" axis="axisRow" fieldPosition="0"/>
    </format>
    <format dxfId="12">
      <pivotArea dataOnly="0" labelOnly="1" outline="0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0BD7A-543F-4310-BFC7-4A9CC17CB8FC}" name="PivotTable3" cacheId="15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55" firstHeaderRow="1" firstDataRow="1" firstDataCol="1"/>
  <pivotFields count="9">
    <pivotField compact="0" outline="0" showAll="0"/>
    <pivotField axis="axisRow" compact="0" outline="0" showAll="0">
      <items count="52">
        <item x="12"/>
        <item x="40"/>
        <item x="13"/>
        <item x="41"/>
        <item x="14"/>
        <item x="42"/>
        <item x="15"/>
        <item x="43"/>
        <item x="16"/>
        <item x="44"/>
        <item x="17"/>
        <item x="45"/>
        <item x="18"/>
        <item x="46"/>
        <item x="19"/>
        <item x="47"/>
        <item x="20"/>
        <item x="48"/>
        <item x="21"/>
        <item x="49"/>
        <item x="22"/>
        <item x="23"/>
        <item x="24"/>
        <item x="25"/>
        <item x="26"/>
        <item x="27"/>
        <item x="0"/>
        <item x="28"/>
        <item x="1"/>
        <item x="29"/>
        <item x="2"/>
        <item x="30"/>
        <item x="3"/>
        <item x="31"/>
        <item x="4"/>
        <item x="32"/>
        <item x="5"/>
        <item x="33"/>
        <item x="6"/>
        <item x="34"/>
        <item x="7"/>
        <item x="35"/>
        <item x="8"/>
        <item x="36"/>
        <item x="9"/>
        <item x="37"/>
        <item x="10"/>
        <item x="38"/>
        <item x="11"/>
        <item x="39"/>
        <item x="5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SALES" fld="5" baseField="0" baseItem="0"/>
  </dataFields>
  <formats count="7">
    <format dxfId="2">
      <pivotArea type="all" dataOnly="0" outline="0" fieldPosition="0"/>
    </format>
    <format dxfId="3">
      <pivotArea outline="0" collapsedLevelsAreSubtotals="1" fieldPosition="0"/>
    </format>
    <format dxfId="4">
      <pivotArea field="1" type="button" dataOnly="0" labelOnly="1" outline="0" axis="axisRow" fieldPosition="0"/>
    </format>
    <format dxfId="5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">
      <pivotArea dataOnly="0" labelOnly="1" outline="0" fieldPosition="0">
        <references count="1">
          <reference field="1" count="1">
            <x v="50"/>
          </reference>
        </references>
      </pivotArea>
    </format>
    <format dxfId="7">
      <pivotArea dataOnly="0" labelOnly="1" grandRow="1" outline="0" fieldPosition="0"/>
    </format>
    <format dxfId="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52"/>
  <sheetViews>
    <sheetView topLeftCell="A39" workbookViewId="0">
      <selection activeCell="H52" sqref="H52"/>
    </sheetView>
  </sheetViews>
  <sheetFormatPr defaultRowHeight="15"/>
  <cols>
    <col min="1" max="1" width="12.5703125" customWidth="1"/>
    <col min="2" max="2" width="15.140625" customWidth="1"/>
    <col min="3" max="3" width="12.7109375" customWidth="1"/>
    <col min="4" max="4" width="19.7109375" customWidth="1"/>
    <col min="5" max="5" width="23.5703125" customWidth="1"/>
    <col min="6" max="6" width="9.42578125" customWidth="1"/>
    <col min="7" max="7" width="9.28515625" bestFit="1" customWidth="1"/>
    <col min="9" max="9" width="17.28515625" customWidth="1"/>
  </cols>
  <sheetData>
    <row r="1" spans="1:9" ht="30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</row>
    <row r="2" spans="1:9" s="10" customFormat="1" ht="15.75">
      <c r="A2" s="7">
        <v>5001</v>
      </c>
      <c r="B2" s="8">
        <v>45293</v>
      </c>
      <c r="C2" s="7" t="s">
        <v>9</v>
      </c>
      <c r="D2" s="7" t="s">
        <v>10</v>
      </c>
      <c r="E2" s="7" t="s">
        <v>11</v>
      </c>
      <c r="F2" s="7">
        <v>450</v>
      </c>
      <c r="G2" s="7">
        <v>90</v>
      </c>
      <c r="H2" s="11">
        <f>F2-G2</f>
        <v>360</v>
      </c>
      <c r="I2" s="9" t="s">
        <v>12</v>
      </c>
    </row>
    <row r="3" spans="1:9" ht="15.75">
      <c r="A3" s="4">
        <v>5002</v>
      </c>
      <c r="B3" s="6">
        <v>45324</v>
      </c>
      <c r="C3" s="4" t="s">
        <v>13</v>
      </c>
      <c r="D3" s="4" t="s">
        <v>14</v>
      </c>
      <c r="E3" s="4" t="s">
        <v>15</v>
      </c>
      <c r="F3" s="4">
        <v>120</v>
      </c>
      <c r="G3" s="4">
        <v>35</v>
      </c>
      <c r="H3" s="5">
        <f t="shared" ref="H3:H51" si="0">F3-G3</f>
        <v>85</v>
      </c>
      <c r="I3" s="3" t="s">
        <v>16</v>
      </c>
    </row>
    <row r="4" spans="1:9" ht="15.75">
      <c r="A4" s="4">
        <v>5003</v>
      </c>
      <c r="B4" s="6">
        <v>45353</v>
      </c>
      <c r="C4" s="4" t="s">
        <v>17</v>
      </c>
      <c r="D4" s="4" t="s">
        <v>18</v>
      </c>
      <c r="E4" s="4" t="s">
        <v>19</v>
      </c>
      <c r="F4" s="4">
        <v>80</v>
      </c>
      <c r="G4" s="4">
        <v>20</v>
      </c>
      <c r="H4" s="5">
        <f t="shared" si="0"/>
        <v>60</v>
      </c>
      <c r="I4" s="3" t="s">
        <v>12</v>
      </c>
    </row>
    <row r="5" spans="1:9" ht="15.75">
      <c r="A5" s="4">
        <v>5004</v>
      </c>
      <c r="B5" s="6">
        <v>45384</v>
      </c>
      <c r="C5" s="4" t="s">
        <v>20</v>
      </c>
      <c r="D5" s="4" t="s">
        <v>14</v>
      </c>
      <c r="E5" s="4" t="s">
        <v>21</v>
      </c>
      <c r="F5" s="4">
        <v>150</v>
      </c>
      <c r="G5" s="4">
        <v>40</v>
      </c>
      <c r="H5" s="5">
        <f t="shared" si="0"/>
        <v>110</v>
      </c>
      <c r="I5" s="3" t="s">
        <v>16</v>
      </c>
    </row>
    <row r="6" spans="1:9" ht="15.75">
      <c r="A6" s="4">
        <v>5005</v>
      </c>
      <c r="B6" s="6">
        <v>45414</v>
      </c>
      <c r="C6" s="4" t="s">
        <v>9</v>
      </c>
      <c r="D6" s="4" t="s">
        <v>10</v>
      </c>
      <c r="E6" s="4" t="s">
        <v>22</v>
      </c>
      <c r="F6" s="4">
        <v>700</v>
      </c>
      <c r="G6" s="4">
        <v>140</v>
      </c>
      <c r="H6" s="5">
        <f t="shared" si="0"/>
        <v>560</v>
      </c>
      <c r="I6" s="3" t="s">
        <v>12</v>
      </c>
    </row>
    <row r="7" spans="1:9" ht="15.75">
      <c r="A7" s="4">
        <v>5006</v>
      </c>
      <c r="B7" s="6">
        <v>45445</v>
      </c>
      <c r="C7" s="4" t="s">
        <v>13</v>
      </c>
      <c r="D7" s="4" t="s">
        <v>18</v>
      </c>
      <c r="E7" s="4" t="s">
        <v>23</v>
      </c>
      <c r="F7" s="4">
        <v>60</v>
      </c>
      <c r="G7" s="4">
        <v>15</v>
      </c>
      <c r="H7" s="5">
        <f t="shared" si="0"/>
        <v>45</v>
      </c>
      <c r="I7" s="3" t="s">
        <v>16</v>
      </c>
    </row>
    <row r="8" spans="1:9" ht="15.75">
      <c r="A8" s="4">
        <v>5007</v>
      </c>
      <c r="B8" s="6">
        <v>45475</v>
      </c>
      <c r="C8" s="4" t="s">
        <v>17</v>
      </c>
      <c r="D8" s="4" t="s">
        <v>14</v>
      </c>
      <c r="E8" s="4" t="s">
        <v>24</v>
      </c>
      <c r="F8" s="4">
        <v>200</v>
      </c>
      <c r="G8" s="4">
        <v>50</v>
      </c>
      <c r="H8" s="5">
        <f t="shared" si="0"/>
        <v>150</v>
      </c>
      <c r="I8" s="3" t="s">
        <v>16</v>
      </c>
    </row>
    <row r="9" spans="1:9" ht="15.75">
      <c r="A9" s="4">
        <v>5008</v>
      </c>
      <c r="B9" s="6">
        <v>45506</v>
      </c>
      <c r="C9" s="4" t="s">
        <v>20</v>
      </c>
      <c r="D9" s="4" t="s">
        <v>10</v>
      </c>
      <c r="E9" s="4" t="s">
        <v>25</v>
      </c>
      <c r="F9" s="4">
        <v>550</v>
      </c>
      <c r="G9" s="4">
        <v>110</v>
      </c>
      <c r="H9" s="5">
        <f t="shared" si="0"/>
        <v>440</v>
      </c>
      <c r="I9" s="3" t="s">
        <v>12</v>
      </c>
    </row>
    <row r="10" spans="1:9" ht="15.75">
      <c r="A10" s="4">
        <v>5009</v>
      </c>
      <c r="B10" s="6">
        <v>45537</v>
      </c>
      <c r="C10" s="4" t="s">
        <v>9</v>
      </c>
      <c r="D10" s="4" t="s">
        <v>18</v>
      </c>
      <c r="E10" s="4" t="s">
        <v>26</v>
      </c>
      <c r="F10" s="4">
        <v>40</v>
      </c>
      <c r="G10" s="4">
        <v>10</v>
      </c>
      <c r="H10" s="5">
        <f t="shared" si="0"/>
        <v>30</v>
      </c>
      <c r="I10" s="3" t="s">
        <v>16</v>
      </c>
    </row>
    <row r="11" spans="1:9" ht="15.75">
      <c r="A11" s="4">
        <v>5010</v>
      </c>
      <c r="B11" s="6">
        <v>45567</v>
      </c>
      <c r="C11" s="4" t="s">
        <v>13</v>
      </c>
      <c r="D11" s="4" t="s">
        <v>14</v>
      </c>
      <c r="E11" s="4" t="s">
        <v>27</v>
      </c>
      <c r="F11" s="4">
        <v>600</v>
      </c>
      <c r="G11" s="4">
        <v>150</v>
      </c>
      <c r="H11" s="5">
        <f t="shared" si="0"/>
        <v>450</v>
      </c>
      <c r="I11" s="3" t="s">
        <v>12</v>
      </c>
    </row>
    <row r="12" spans="1:9" ht="15.75">
      <c r="A12" s="4">
        <v>5011</v>
      </c>
      <c r="B12" s="6">
        <v>45598</v>
      </c>
      <c r="C12" s="4" t="s">
        <v>17</v>
      </c>
      <c r="D12" s="4" t="s">
        <v>10</v>
      </c>
      <c r="E12" s="4" t="s">
        <v>28</v>
      </c>
      <c r="F12" s="4">
        <v>350</v>
      </c>
      <c r="G12" s="4">
        <v>70</v>
      </c>
      <c r="H12" s="5">
        <f t="shared" si="0"/>
        <v>280</v>
      </c>
      <c r="I12" s="3" t="s">
        <v>12</v>
      </c>
    </row>
    <row r="13" spans="1:9" ht="15.75">
      <c r="A13" s="4">
        <v>5012</v>
      </c>
      <c r="B13" s="6">
        <v>45628</v>
      </c>
      <c r="C13" s="4" t="s">
        <v>20</v>
      </c>
      <c r="D13" s="4" t="s">
        <v>18</v>
      </c>
      <c r="E13" s="4" t="s">
        <v>29</v>
      </c>
      <c r="F13" s="4">
        <v>90</v>
      </c>
      <c r="G13" s="4">
        <v>22</v>
      </c>
      <c r="H13" s="5">
        <f t="shared" si="0"/>
        <v>68</v>
      </c>
      <c r="I13" s="3" t="s">
        <v>16</v>
      </c>
    </row>
    <row r="14" spans="1:9" ht="15.75">
      <c r="A14" s="4">
        <v>5013</v>
      </c>
      <c r="B14" s="4" t="s">
        <v>30</v>
      </c>
      <c r="C14" s="4" t="s">
        <v>9</v>
      </c>
      <c r="D14" s="4" t="s">
        <v>14</v>
      </c>
      <c r="E14" s="4" t="s">
        <v>31</v>
      </c>
      <c r="F14" s="4">
        <v>250</v>
      </c>
      <c r="G14" s="4">
        <v>65</v>
      </c>
      <c r="H14" s="5">
        <f t="shared" si="0"/>
        <v>185</v>
      </c>
      <c r="I14" s="3" t="s">
        <v>12</v>
      </c>
    </row>
    <row r="15" spans="1:9" ht="15.75">
      <c r="A15" s="4">
        <v>5014</v>
      </c>
      <c r="B15" s="4" t="s">
        <v>32</v>
      </c>
      <c r="C15" s="4" t="s">
        <v>13</v>
      </c>
      <c r="D15" s="4" t="s">
        <v>10</v>
      </c>
      <c r="E15" s="4" t="s">
        <v>33</v>
      </c>
      <c r="F15" s="4">
        <v>800</v>
      </c>
      <c r="G15" s="4">
        <v>160</v>
      </c>
      <c r="H15" s="5">
        <f t="shared" si="0"/>
        <v>640</v>
      </c>
      <c r="I15" s="3" t="s">
        <v>12</v>
      </c>
    </row>
    <row r="16" spans="1:9" ht="15.75">
      <c r="A16" s="4">
        <v>5015</v>
      </c>
      <c r="B16" s="4" t="s">
        <v>34</v>
      </c>
      <c r="C16" s="4" t="s">
        <v>17</v>
      </c>
      <c r="D16" s="4" t="s">
        <v>18</v>
      </c>
      <c r="E16" s="4" t="s">
        <v>35</v>
      </c>
      <c r="F16" s="4">
        <v>70</v>
      </c>
      <c r="G16" s="4">
        <v>18</v>
      </c>
      <c r="H16" s="5">
        <f t="shared" si="0"/>
        <v>52</v>
      </c>
      <c r="I16" s="3" t="s">
        <v>16</v>
      </c>
    </row>
    <row r="17" spans="1:9" ht="15.75">
      <c r="A17" s="4">
        <v>5016</v>
      </c>
      <c r="B17" s="4" t="s">
        <v>36</v>
      </c>
      <c r="C17" s="4" t="s">
        <v>20</v>
      </c>
      <c r="D17" s="4" t="s">
        <v>14</v>
      </c>
      <c r="E17" s="4" t="s">
        <v>37</v>
      </c>
      <c r="F17" s="4">
        <v>300</v>
      </c>
      <c r="G17" s="4">
        <v>75</v>
      </c>
      <c r="H17" s="5">
        <f t="shared" si="0"/>
        <v>225</v>
      </c>
      <c r="I17" s="3" t="s">
        <v>12</v>
      </c>
    </row>
    <row r="18" spans="1:9" ht="15.75">
      <c r="A18" s="4">
        <v>5017</v>
      </c>
      <c r="B18" s="4" t="s">
        <v>38</v>
      </c>
      <c r="C18" s="4" t="s">
        <v>9</v>
      </c>
      <c r="D18" s="4" t="s">
        <v>10</v>
      </c>
      <c r="E18" s="4" t="s">
        <v>39</v>
      </c>
      <c r="F18" s="4">
        <v>650</v>
      </c>
      <c r="G18" s="4">
        <v>130</v>
      </c>
      <c r="H18" s="5">
        <f t="shared" si="0"/>
        <v>520</v>
      </c>
      <c r="I18" s="3" t="s">
        <v>12</v>
      </c>
    </row>
    <row r="19" spans="1:9" ht="15.75">
      <c r="A19" s="4">
        <v>5018</v>
      </c>
      <c r="B19" s="4" t="s">
        <v>40</v>
      </c>
      <c r="C19" s="4" t="s">
        <v>13</v>
      </c>
      <c r="D19" s="4" t="s">
        <v>18</v>
      </c>
      <c r="E19" s="4" t="s">
        <v>41</v>
      </c>
      <c r="F19" s="4">
        <v>35</v>
      </c>
      <c r="G19" s="4">
        <v>8</v>
      </c>
      <c r="H19" s="5">
        <f t="shared" si="0"/>
        <v>27</v>
      </c>
      <c r="I19" s="3" t="s">
        <v>16</v>
      </c>
    </row>
    <row r="20" spans="1:9" ht="15.75">
      <c r="A20" s="4">
        <v>5019</v>
      </c>
      <c r="B20" s="4" t="s">
        <v>42</v>
      </c>
      <c r="C20" s="4" t="s">
        <v>17</v>
      </c>
      <c r="D20" s="4" t="s">
        <v>14</v>
      </c>
      <c r="E20" s="4" t="s">
        <v>43</v>
      </c>
      <c r="F20" s="4">
        <v>220</v>
      </c>
      <c r="G20" s="4">
        <v>55</v>
      </c>
      <c r="H20" s="5">
        <f t="shared" si="0"/>
        <v>165</v>
      </c>
      <c r="I20" s="3" t="s">
        <v>12</v>
      </c>
    </row>
    <row r="21" spans="1:9" ht="15.75">
      <c r="A21" s="4">
        <v>5020</v>
      </c>
      <c r="B21" s="4" t="s">
        <v>44</v>
      </c>
      <c r="C21" s="4" t="s">
        <v>20</v>
      </c>
      <c r="D21" s="4" t="s">
        <v>10</v>
      </c>
      <c r="E21" s="4" t="s">
        <v>45</v>
      </c>
      <c r="F21" s="4">
        <v>900</v>
      </c>
      <c r="G21" s="4">
        <v>180</v>
      </c>
      <c r="H21" s="5">
        <f t="shared" si="0"/>
        <v>720</v>
      </c>
      <c r="I21" s="3" t="s">
        <v>12</v>
      </c>
    </row>
    <row r="22" spans="1:9" ht="15.75">
      <c r="A22" s="4">
        <v>5021</v>
      </c>
      <c r="B22" s="4" t="s">
        <v>46</v>
      </c>
      <c r="C22" s="4" t="s">
        <v>9</v>
      </c>
      <c r="D22" s="4" t="s">
        <v>18</v>
      </c>
      <c r="E22" s="4" t="s">
        <v>47</v>
      </c>
      <c r="F22" s="4">
        <v>55</v>
      </c>
      <c r="G22" s="4">
        <v>14</v>
      </c>
      <c r="H22" s="5">
        <f t="shared" si="0"/>
        <v>41</v>
      </c>
      <c r="I22" s="3" t="s">
        <v>16</v>
      </c>
    </row>
    <row r="23" spans="1:9" ht="15.75">
      <c r="A23" s="4">
        <v>5022</v>
      </c>
      <c r="B23" s="4" t="s">
        <v>48</v>
      </c>
      <c r="C23" s="4" t="s">
        <v>13</v>
      </c>
      <c r="D23" s="4" t="s">
        <v>14</v>
      </c>
      <c r="E23" s="4" t="s">
        <v>49</v>
      </c>
      <c r="F23" s="4">
        <v>180</v>
      </c>
      <c r="G23" s="4">
        <v>45</v>
      </c>
      <c r="H23" s="5">
        <f t="shared" si="0"/>
        <v>135</v>
      </c>
      <c r="I23" s="3" t="s">
        <v>16</v>
      </c>
    </row>
    <row r="24" spans="1:9" ht="15.75">
      <c r="A24" s="4">
        <v>5023</v>
      </c>
      <c r="B24" s="4" t="s">
        <v>50</v>
      </c>
      <c r="C24" s="4" t="s">
        <v>17</v>
      </c>
      <c r="D24" s="4" t="s">
        <v>10</v>
      </c>
      <c r="E24" s="4" t="s">
        <v>51</v>
      </c>
      <c r="F24" s="4">
        <v>1200</v>
      </c>
      <c r="G24" s="4">
        <v>240</v>
      </c>
      <c r="H24" s="5">
        <f t="shared" si="0"/>
        <v>960</v>
      </c>
      <c r="I24" s="3" t="s">
        <v>12</v>
      </c>
    </row>
    <row r="25" spans="1:9" ht="15.75">
      <c r="A25" s="4">
        <v>5024</v>
      </c>
      <c r="B25" s="4" t="s">
        <v>52</v>
      </c>
      <c r="C25" s="4" t="s">
        <v>20</v>
      </c>
      <c r="D25" s="4" t="s">
        <v>18</v>
      </c>
      <c r="E25" s="4" t="s">
        <v>53</v>
      </c>
      <c r="F25" s="4">
        <v>95</v>
      </c>
      <c r="G25" s="4">
        <v>24</v>
      </c>
      <c r="H25" s="5">
        <f t="shared" si="0"/>
        <v>71</v>
      </c>
      <c r="I25" s="3" t="s">
        <v>16</v>
      </c>
    </row>
    <row r="26" spans="1:9" ht="15.75">
      <c r="A26" s="4">
        <v>5025</v>
      </c>
      <c r="B26" s="4" t="s">
        <v>54</v>
      </c>
      <c r="C26" s="4" t="s">
        <v>9</v>
      </c>
      <c r="D26" s="4" t="s">
        <v>14</v>
      </c>
      <c r="E26" s="4" t="s">
        <v>55</v>
      </c>
      <c r="F26" s="4">
        <v>700</v>
      </c>
      <c r="G26" s="4">
        <v>175</v>
      </c>
      <c r="H26" s="5">
        <f t="shared" si="0"/>
        <v>525</v>
      </c>
      <c r="I26" s="3" t="s">
        <v>12</v>
      </c>
    </row>
    <row r="27" spans="1:9" ht="15.75">
      <c r="A27" s="4">
        <v>5026</v>
      </c>
      <c r="B27" s="4" t="s">
        <v>56</v>
      </c>
      <c r="C27" s="4" t="s">
        <v>13</v>
      </c>
      <c r="D27" s="4" t="s">
        <v>10</v>
      </c>
      <c r="E27" s="4" t="s">
        <v>57</v>
      </c>
      <c r="F27" s="4">
        <v>500</v>
      </c>
      <c r="G27" s="4">
        <v>100</v>
      </c>
      <c r="H27" s="5">
        <f t="shared" si="0"/>
        <v>400</v>
      </c>
      <c r="I27" s="3" t="s">
        <v>12</v>
      </c>
    </row>
    <row r="28" spans="1:9" ht="15.75">
      <c r="A28" s="4">
        <v>5027</v>
      </c>
      <c r="B28" s="4" t="s">
        <v>58</v>
      </c>
      <c r="C28" s="4" t="s">
        <v>17</v>
      </c>
      <c r="D28" s="4" t="s">
        <v>18</v>
      </c>
      <c r="E28" s="4" t="s">
        <v>59</v>
      </c>
      <c r="F28" s="4">
        <v>110</v>
      </c>
      <c r="G28" s="4">
        <v>28</v>
      </c>
      <c r="H28" s="5">
        <f t="shared" si="0"/>
        <v>82</v>
      </c>
      <c r="I28" s="3" t="s">
        <v>16</v>
      </c>
    </row>
    <row r="29" spans="1:9" ht="15.75">
      <c r="A29" s="4">
        <v>5028</v>
      </c>
      <c r="B29" s="4" t="s">
        <v>60</v>
      </c>
      <c r="C29" s="4" t="s">
        <v>20</v>
      </c>
      <c r="D29" s="4" t="s">
        <v>14</v>
      </c>
      <c r="E29" s="4" t="s">
        <v>61</v>
      </c>
      <c r="F29" s="4">
        <v>210</v>
      </c>
      <c r="G29" s="4">
        <v>52</v>
      </c>
      <c r="H29" s="5">
        <f t="shared" si="0"/>
        <v>158</v>
      </c>
      <c r="I29" s="3" t="s">
        <v>12</v>
      </c>
    </row>
    <row r="30" spans="1:9" ht="15.75">
      <c r="A30" s="4">
        <v>5029</v>
      </c>
      <c r="B30" s="6">
        <v>45294</v>
      </c>
      <c r="C30" s="4" t="s">
        <v>9</v>
      </c>
      <c r="D30" s="4" t="s">
        <v>10</v>
      </c>
      <c r="E30" s="4" t="s">
        <v>62</v>
      </c>
      <c r="F30" s="4">
        <v>430</v>
      </c>
      <c r="G30" s="4">
        <v>90</v>
      </c>
      <c r="H30" s="5">
        <f t="shared" si="0"/>
        <v>340</v>
      </c>
      <c r="I30" s="3" t="s">
        <v>12</v>
      </c>
    </row>
    <row r="31" spans="1:9" ht="15.75">
      <c r="A31" s="4">
        <v>5030</v>
      </c>
      <c r="B31" s="6">
        <v>45325</v>
      </c>
      <c r="C31" s="4" t="s">
        <v>13</v>
      </c>
      <c r="D31" s="4" t="s">
        <v>18</v>
      </c>
      <c r="E31" s="4" t="s">
        <v>63</v>
      </c>
      <c r="F31" s="4">
        <v>25</v>
      </c>
      <c r="G31" s="4">
        <v>6</v>
      </c>
      <c r="H31" s="5">
        <f t="shared" si="0"/>
        <v>19</v>
      </c>
      <c r="I31" s="3" t="s">
        <v>16</v>
      </c>
    </row>
    <row r="32" spans="1:9" ht="15.75">
      <c r="A32" s="4">
        <v>5031</v>
      </c>
      <c r="B32" s="6">
        <v>45354</v>
      </c>
      <c r="C32" s="4" t="s">
        <v>17</v>
      </c>
      <c r="D32" s="4" t="s">
        <v>14</v>
      </c>
      <c r="E32" s="4" t="s">
        <v>64</v>
      </c>
      <c r="F32" s="4">
        <v>550</v>
      </c>
      <c r="G32" s="4">
        <v>120</v>
      </c>
      <c r="H32" s="5">
        <f t="shared" si="0"/>
        <v>430</v>
      </c>
      <c r="I32" s="3" t="s">
        <v>12</v>
      </c>
    </row>
    <row r="33" spans="1:9" ht="15.75">
      <c r="A33" s="4">
        <v>5032</v>
      </c>
      <c r="B33" s="6">
        <v>45385</v>
      </c>
      <c r="C33" s="4" t="s">
        <v>20</v>
      </c>
      <c r="D33" s="4" t="s">
        <v>10</v>
      </c>
      <c r="E33" s="4" t="s">
        <v>65</v>
      </c>
      <c r="F33" s="4">
        <v>300</v>
      </c>
      <c r="G33" s="4">
        <v>70</v>
      </c>
      <c r="H33" s="5">
        <f t="shared" si="0"/>
        <v>230</v>
      </c>
      <c r="I33" s="3" t="s">
        <v>12</v>
      </c>
    </row>
    <row r="34" spans="1:9" ht="15.75">
      <c r="A34" s="4">
        <v>5033</v>
      </c>
      <c r="B34" s="6">
        <v>45415</v>
      </c>
      <c r="C34" s="4" t="s">
        <v>9</v>
      </c>
      <c r="D34" s="4" t="s">
        <v>18</v>
      </c>
      <c r="E34" s="4" t="s">
        <v>66</v>
      </c>
      <c r="F34" s="4">
        <v>45</v>
      </c>
      <c r="G34" s="4">
        <v>12</v>
      </c>
      <c r="H34" s="5">
        <f t="shared" si="0"/>
        <v>33</v>
      </c>
      <c r="I34" s="3" t="s">
        <v>16</v>
      </c>
    </row>
    <row r="35" spans="1:9" ht="15.75">
      <c r="A35" s="4">
        <v>5034</v>
      </c>
      <c r="B35" s="6">
        <v>45446</v>
      </c>
      <c r="C35" s="4" t="s">
        <v>13</v>
      </c>
      <c r="D35" s="4" t="s">
        <v>14</v>
      </c>
      <c r="E35" s="4" t="s">
        <v>67</v>
      </c>
      <c r="F35" s="4">
        <v>260</v>
      </c>
      <c r="G35" s="4">
        <v>60</v>
      </c>
      <c r="H35" s="5">
        <f t="shared" si="0"/>
        <v>200</v>
      </c>
      <c r="I35" s="3" t="s">
        <v>12</v>
      </c>
    </row>
    <row r="36" spans="1:9" ht="15.75">
      <c r="A36" s="4">
        <v>5035</v>
      </c>
      <c r="B36" s="6">
        <v>45476</v>
      </c>
      <c r="C36" s="4" t="s">
        <v>17</v>
      </c>
      <c r="D36" s="4" t="s">
        <v>10</v>
      </c>
      <c r="E36" s="4" t="s">
        <v>68</v>
      </c>
      <c r="F36" s="4">
        <v>340</v>
      </c>
      <c r="G36" s="4">
        <v>80</v>
      </c>
      <c r="H36" s="5">
        <f t="shared" si="0"/>
        <v>260</v>
      </c>
      <c r="I36" s="3" t="s">
        <v>12</v>
      </c>
    </row>
    <row r="37" spans="1:9" ht="15.75">
      <c r="A37" s="4">
        <v>5036</v>
      </c>
      <c r="B37" s="6">
        <v>45507</v>
      </c>
      <c r="C37" s="4" t="s">
        <v>20</v>
      </c>
      <c r="D37" s="4" t="s">
        <v>18</v>
      </c>
      <c r="E37" s="4" t="s">
        <v>69</v>
      </c>
      <c r="F37" s="4">
        <v>30</v>
      </c>
      <c r="G37" s="4">
        <v>7</v>
      </c>
      <c r="H37" s="5">
        <f t="shared" si="0"/>
        <v>23</v>
      </c>
      <c r="I37" s="3" t="s">
        <v>16</v>
      </c>
    </row>
    <row r="38" spans="1:9" ht="15.75">
      <c r="A38" s="4">
        <v>5037</v>
      </c>
      <c r="B38" s="6">
        <v>45538</v>
      </c>
      <c r="C38" s="4" t="s">
        <v>9</v>
      </c>
      <c r="D38" s="4" t="s">
        <v>14</v>
      </c>
      <c r="E38" s="4" t="s">
        <v>70</v>
      </c>
      <c r="F38" s="4">
        <v>480</v>
      </c>
      <c r="G38" s="4">
        <v>110</v>
      </c>
      <c r="H38" s="5">
        <f t="shared" si="0"/>
        <v>370</v>
      </c>
      <c r="I38" s="3" t="s">
        <v>12</v>
      </c>
    </row>
    <row r="39" spans="1:9" ht="15.75">
      <c r="A39" s="4">
        <v>5038</v>
      </c>
      <c r="B39" s="6">
        <v>45568</v>
      </c>
      <c r="C39" s="4" t="s">
        <v>13</v>
      </c>
      <c r="D39" s="4" t="s">
        <v>10</v>
      </c>
      <c r="E39" s="4" t="s">
        <v>71</v>
      </c>
      <c r="F39" s="4">
        <v>390</v>
      </c>
      <c r="G39" s="4">
        <v>95</v>
      </c>
      <c r="H39" s="5">
        <f t="shared" si="0"/>
        <v>295</v>
      </c>
      <c r="I39" s="3" t="s">
        <v>12</v>
      </c>
    </row>
    <row r="40" spans="1:9" ht="15.75">
      <c r="A40" s="4">
        <v>5039</v>
      </c>
      <c r="B40" s="6">
        <v>45599</v>
      </c>
      <c r="C40" s="4" t="s">
        <v>17</v>
      </c>
      <c r="D40" s="4" t="s">
        <v>18</v>
      </c>
      <c r="E40" s="4" t="s">
        <v>72</v>
      </c>
      <c r="F40" s="4">
        <v>75</v>
      </c>
      <c r="G40" s="4">
        <v>18</v>
      </c>
      <c r="H40" s="5">
        <f t="shared" si="0"/>
        <v>57</v>
      </c>
      <c r="I40" s="3" t="s">
        <v>16</v>
      </c>
    </row>
    <row r="41" spans="1:9" ht="15.75">
      <c r="A41" s="4">
        <v>5040</v>
      </c>
      <c r="B41" s="6">
        <v>45629</v>
      </c>
      <c r="C41" s="4" t="s">
        <v>20</v>
      </c>
      <c r="D41" s="4" t="s">
        <v>14</v>
      </c>
      <c r="E41" s="4" t="s">
        <v>73</v>
      </c>
      <c r="F41" s="4">
        <v>220</v>
      </c>
      <c r="G41" s="4">
        <v>50</v>
      </c>
      <c r="H41" s="5">
        <f t="shared" si="0"/>
        <v>170</v>
      </c>
      <c r="I41" s="3" t="s">
        <v>12</v>
      </c>
    </row>
    <row r="42" spans="1:9" ht="15.75">
      <c r="A42" s="4">
        <v>5041</v>
      </c>
      <c r="B42" s="4" t="s">
        <v>74</v>
      </c>
      <c r="C42" s="4" t="s">
        <v>9</v>
      </c>
      <c r="D42" s="4" t="s">
        <v>10</v>
      </c>
      <c r="E42" s="4" t="s">
        <v>75</v>
      </c>
      <c r="F42" s="4">
        <v>610</v>
      </c>
      <c r="G42" s="4">
        <v>140</v>
      </c>
      <c r="H42" s="5">
        <f t="shared" si="0"/>
        <v>470</v>
      </c>
      <c r="I42" s="3" t="s">
        <v>12</v>
      </c>
    </row>
    <row r="43" spans="1:9" ht="15.75">
      <c r="A43" s="4">
        <v>5042</v>
      </c>
      <c r="B43" s="4" t="s">
        <v>76</v>
      </c>
      <c r="C43" s="4" t="s">
        <v>13</v>
      </c>
      <c r="D43" s="4" t="s">
        <v>18</v>
      </c>
      <c r="E43" s="4" t="s">
        <v>77</v>
      </c>
      <c r="F43" s="4">
        <v>20</v>
      </c>
      <c r="G43" s="4">
        <v>5</v>
      </c>
      <c r="H43" s="5">
        <f t="shared" si="0"/>
        <v>15</v>
      </c>
      <c r="I43" s="3" t="s">
        <v>16</v>
      </c>
    </row>
    <row r="44" spans="1:9" ht="15.75">
      <c r="A44" s="4">
        <v>5043</v>
      </c>
      <c r="B44" s="4" t="s">
        <v>78</v>
      </c>
      <c r="C44" s="4" t="s">
        <v>17</v>
      </c>
      <c r="D44" s="4" t="s">
        <v>14</v>
      </c>
      <c r="E44" s="4" t="s">
        <v>79</v>
      </c>
      <c r="F44" s="4">
        <v>270</v>
      </c>
      <c r="G44" s="4">
        <v>65</v>
      </c>
      <c r="H44" s="5">
        <f t="shared" si="0"/>
        <v>205</v>
      </c>
      <c r="I44" s="3" t="s">
        <v>12</v>
      </c>
    </row>
    <row r="45" spans="1:9" ht="15.75">
      <c r="A45" s="4">
        <v>5044</v>
      </c>
      <c r="B45" s="4" t="s">
        <v>80</v>
      </c>
      <c r="C45" s="4" t="s">
        <v>20</v>
      </c>
      <c r="D45" s="4" t="s">
        <v>10</v>
      </c>
      <c r="E45" s="4" t="s">
        <v>81</v>
      </c>
      <c r="F45" s="4">
        <v>310</v>
      </c>
      <c r="G45" s="4">
        <v>70</v>
      </c>
      <c r="H45" s="5">
        <f t="shared" si="0"/>
        <v>240</v>
      </c>
      <c r="I45" s="3" t="s">
        <v>12</v>
      </c>
    </row>
    <row r="46" spans="1:9" ht="15.75">
      <c r="A46" s="4">
        <v>5045</v>
      </c>
      <c r="B46" s="4" t="s">
        <v>82</v>
      </c>
      <c r="C46" s="4" t="s">
        <v>9</v>
      </c>
      <c r="D46" s="4" t="s">
        <v>18</v>
      </c>
      <c r="E46" s="4" t="s">
        <v>83</v>
      </c>
      <c r="F46" s="4">
        <v>28</v>
      </c>
      <c r="G46" s="4">
        <v>6</v>
      </c>
      <c r="H46" s="5">
        <f t="shared" si="0"/>
        <v>22</v>
      </c>
      <c r="I46" s="3" t="s">
        <v>16</v>
      </c>
    </row>
    <row r="47" spans="1:9" ht="15.75">
      <c r="A47" s="4">
        <v>5046</v>
      </c>
      <c r="B47" s="4" t="s">
        <v>84</v>
      </c>
      <c r="C47" s="4" t="s">
        <v>13</v>
      </c>
      <c r="D47" s="4" t="s">
        <v>14</v>
      </c>
      <c r="E47" s="4" t="s">
        <v>85</v>
      </c>
      <c r="F47" s="4">
        <v>190</v>
      </c>
      <c r="G47" s="4">
        <v>42</v>
      </c>
      <c r="H47" s="5">
        <f t="shared" si="0"/>
        <v>148</v>
      </c>
      <c r="I47" s="3" t="s">
        <v>16</v>
      </c>
    </row>
    <row r="48" spans="1:9" ht="15.75">
      <c r="A48" s="4">
        <v>5047</v>
      </c>
      <c r="B48" s="4" t="s">
        <v>86</v>
      </c>
      <c r="C48" s="4" t="s">
        <v>17</v>
      </c>
      <c r="D48" s="4" t="s">
        <v>10</v>
      </c>
      <c r="E48" s="4" t="s">
        <v>87</v>
      </c>
      <c r="F48" s="4">
        <v>140</v>
      </c>
      <c r="G48" s="4">
        <v>30</v>
      </c>
      <c r="H48" s="5">
        <f t="shared" si="0"/>
        <v>110</v>
      </c>
      <c r="I48" s="3" t="s">
        <v>16</v>
      </c>
    </row>
    <row r="49" spans="1:9" ht="15.75">
      <c r="A49" s="4">
        <v>5048</v>
      </c>
      <c r="B49" s="4" t="s">
        <v>88</v>
      </c>
      <c r="C49" s="4" t="s">
        <v>20</v>
      </c>
      <c r="D49" s="4" t="s">
        <v>18</v>
      </c>
      <c r="E49" s="4" t="s">
        <v>89</v>
      </c>
      <c r="F49" s="4">
        <v>35</v>
      </c>
      <c r="G49" s="4">
        <v>9</v>
      </c>
      <c r="H49" s="5">
        <f t="shared" si="0"/>
        <v>26</v>
      </c>
      <c r="I49" s="3" t="s">
        <v>16</v>
      </c>
    </row>
    <row r="50" spans="1:9" ht="15.75">
      <c r="A50" s="4">
        <v>5049</v>
      </c>
      <c r="B50" s="4" t="s">
        <v>90</v>
      </c>
      <c r="C50" s="4" t="s">
        <v>9</v>
      </c>
      <c r="D50" s="4" t="s">
        <v>14</v>
      </c>
      <c r="E50" s="4" t="s">
        <v>91</v>
      </c>
      <c r="F50" s="4">
        <v>60</v>
      </c>
      <c r="G50" s="4">
        <v>15</v>
      </c>
      <c r="H50" s="5">
        <f t="shared" si="0"/>
        <v>45</v>
      </c>
      <c r="I50" s="3" t="s">
        <v>16</v>
      </c>
    </row>
    <row r="51" spans="1:9" ht="15.75">
      <c r="A51" s="15">
        <v>5050</v>
      </c>
      <c r="B51" s="15" t="s">
        <v>92</v>
      </c>
      <c r="C51" s="15" t="s">
        <v>13</v>
      </c>
      <c r="D51" s="15" t="s">
        <v>10</v>
      </c>
      <c r="E51" s="15" t="s">
        <v>93</v>
      </c>
      <c r="F51" s="15">
        <v>270</v>
      </c>
      <c r="G51" s="15">
        <v>60</v>
      </c>
      <c r="H51" s="17">
        <f t="shared" si="0"/>
        <v>210</v>
      </c>
      <c r="I51" s="3" t="s">
        <v>12</v>
      </c>
    </row>
    <row r="52" spans="1:9" ht="29.25" customHeight="1">
      <c r="A52" s="24" t="s">
        <v>94</v>
      </c>
      <c r="B52" s="25"/>
      <c r="C52" s="25"/>
      <c r="D52" s="25"/>
      <c r="E52" s="25"/>
      <c r="F52" s="26"/>
      <c r="G52" s="16">
        <f>SUM(G2:G51)</f>
        <v>3281</v>
      </c>
      <c r="H52" s="18">
        <f>SUM(H2:H51)</f>
        <v>11462</v>
      </c>
      <c r="I52" s="14"/>
    </row>
  </sheetData>
  <mergeCells count="1">
    <mergeCell ref="A52:F52"/>
  </mergeCells>
  <conditionalFormatting sqref="F2:F51">
    <cfRule type="cellIs" dxfId="1" priority="7" operator="greaterThan">
      <formula>200</formula>
    </cfRule>
  </conditionalFormatting>
  <conditionalFormatting sqref="F2:F51">
    <cfRule type="cellIs" dxfId="0" priority="6" operator="greaterThan">
      <formula>500</formula>
    </cfRule>
  </conditionalFormatting>
  <conditionalFormatting sqref="G2:G5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{4983F8BE-4363-41D4-8270-EB70738C3F8E}</x14:id>
        </ext>
      </extLst>
    </cfRule>
  </conditionalFormatting>
  <conditionalFormatting sqref="H2:H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51">
    <cfRule type="colorScale" priority="2">
      <colorScale>
        <cfvo type="min"/>
        <cfvo type="max"/>
        <color rgb="FFFFEF9C"/>
        <color rgb="FF63BE7B"/>
      </colorScale>
    </cfRule>
  </conditionalFormatting>
  <conditionalFormatting sqref="I2:I5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83F8BE-4363-41D4-8270-EB70738C3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B573-6E7B-4996-A416-314352EC74F4}">
  <sheetPr>
    <tabColor theme="5" tint="0.39997558519241921"/>
  </sheetPr>
  <dimension ref="A3:B9"/>
  <sheetViews>
    <sheetView workbookViewId="0">
      <selection activeCell="B7" sqref="A3:B9"/>
    </sheetView>
  </sheetViews>
  <sheetFormatPr defaultRowHeight="15"/>
  <cols>
    <col min="1" max="1" width="11.42578125" bestFit="1" customWidth="1"/>
    <col min="2" max="2" width="12.85546875" bestFit="1" customWidth="1"/>
  </cols>
  <sheetData>
    <row r="3" spans="1:2">
      <c r="A3" s="22" t="s">
        <v>2</v>
      </c>
      <c r="B3" s="1" t="s">
        <v>95</v>
      </c>
    </row>
    <row r="4" spans="1:2">
      <c r="A4" s="1" t="s">
        <v>9</v>
      </c>
      <c r="B4" s="23">
        <v>4498</v>
      </c>
    </row>
    <row r="5" spans="1:2">
      <c r="A5" s="1" t="s">
        <v>20</v>
      </c>
      <c r="B5" s="23">
        <v>3190</v>
      </c>
    </row>
    <row r="6" spans="1:2">
      <c r="A6" s="1" t="s">
        <v>17</v>
      </c>
      <c r="B6" s="23">
        <v>3605</v>
      </c>
    </row>
    <row r="7" spans="1:2">
      <c r="A7" s="1" t="s">
        <v>13</v>
      </c>
      <c r="B7" s="23">
        <v>3450</v>
      </c>
    </row>
    <row r="8" spans="1:2">
      <c r="A8" s="1" t="s">
        <v>96</v>
      </c>
      <c r="B8" s="23"/>
    </row>
    <row r="9" spans="1:2">
      <c r="A9" s="1" t="s">
        <v>97</v>
      </c>
      <c r="B9" s="23">
        <v>14743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18B8-1671-4E8F-8ECA-E039D660CE94}">
  <sheetPr>
    <tabColor theme="9" tint="0.79998168889431442"/>
  </sheetPr>
  <dimension ref="A3:B8"/>
  <sheetViews>
    <sheetView workbookViewId="0">
      <selection activeCell="B6" sqref="A3:B8"/>
    </sheetView>
  </sheetViews>
  <sheetFormatPr defaultRowHeight="15"/>
  <cols>
    <col min="1" max="1" width="13.7109375" bestFit="1" customWidth="1"/>
    <col min="2" max="2" width="14" bestFit="1" customWidth="1"/>
  </cols>
  <sheetData>
    <row r="3" spans="1:2">
      <c r="A3" s="22" t="s">
        <v>3</v>
      </c>
      <c r="B3" s="1" t="s">
        <v>98</v>
      </c>
    </row>
    <row r="4" spans="1:2">
      <c r="A4" s="1" t="s">
        <v>10</v>
      </c>
      <c r="B4" s="23">
        <v>1855</v>
      </c>
    </row>
    <row r="5" spans="1:2">
      <c r="A5" s="1" t="s">
        <v>18</v>
      </c>
      <c r="B5" s="23">
        <v>222</v>
      </c>
    </row>
    <row r="6" spans="1:2">
      <c r="A6" s="1" t="s">
        <v>14</v>
      </c>
      <c r="B6" s="23">
        <v>1204</v>
      </c>
    </row>
    <row r="7" spans="1:2">
      <c r="A7" s="1" t="s">
        <v>99</v>
      </c>
      <c r="B7" s="23">
        <v>3281</v>
      </c>
    </row>
    <row r="8" spans="1:2">
      <c r="A8" s="1" t="s">
        <v>97</v>
      </c>
      <c r="B8" s="23">
        <v>6562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8B90-F55E-405A-965B-0D46B2E5D200}">
  <sheetPr>
    <tabColor theme="7" tint="0.39997558519241921"/>
  </sheetPr>
  <dimension ref="A3:B55"/>
  <sheetViews>
    <sheetView tabSelected="1" workbookViewId="0">
      <selection activeCell="G42" sqref="G42"/>
    </sheetView>
  </sheetViews>
  <sheetFormatPr defaultRowHeight="15"/>
  <cols>
    <col min="1" max="1" width="14.42578125" bestFit="1" customWidth="1"/>
    <col min="2" max="2" width="12.85546875" bestFit="1" customWidth="1"/>
  </cols>
  <sheetData>
    <row r="3" spans="1:2">
      <c r="A3" s="22" t="s">
        <v>1</v>
      </c>
      <c r="B3" s="1" t="s">
        <v>95</v>
      </c>
    </row>
    <row r="4" spans="1:2">
      <c r="A4" s="1" t="s">
        <v>30</v>
      </c>
      <c r="B4" s="23">
        <v>250</v>
      </c>
    </row>
    <row r="5" spans="1:2">
      <c r="A5" s="1" t="s">
        <v>74</v>
      </c>
      <c r="B5" s="23">
        <v>610</v>
      </c>
    </row>
    <row r="6" spans="1:2">
      <c r="A6" s="1" t="s">
        <v>32</v>
      </c>
      <c r="B6" s="23">
        <v>800</v>
      </c>
    </row>
    <row r="7" spans="1:2">
      <c r="A7" s="1" t="s">
        <v>76</v>
      </c>
      <c r="B7" s="23">
        <v>20</v>
      </c>
    </row>
    <row r="8" spans="1:2">
      <c r="A8" s="1" t="s">
        <v>34</v>
      </c>
      <c r="B8" s="23">
        <v>70</v>
      </c>
    </row>
    <row r="9" spans="1:2">
      <c r="A9" s="1" t="s">
        <v>78</v>
      </c>
      <c r="B9" s="23">
        <v>270</v>
      </c>
    </row>
    <row r="10" spans="1:2">
      <c r="A10" s="1" t="s">
        <v>36</v>
      </c>
      <c r="B10" s="23">
        <v>300</v>
      </c>
    </row>
    <row r="11" spans="1:2">
      <c r="A11" s="1" t="s">
        <v>80</v>
      </c>
      <c r="B11" s="23">
        <v>310</v>
      </c>
    </row>
    <row r="12" spans="1:2">
      <c r="A12" s="1" t="s">
        <v>38</v>
      </c>
      <c r="B12" s="23">
        <v>650</v>
      </c>
    </row>
    <row r="13" spans="1:2">
      <c r="A13" s="1" t="s">
        <v>82</v>
      </c>
      <c r="B13" s="23">
        <v>28</v>
      </c>
    </row>
    <row r="14" spans="1:2">
      <c r="A14" s="1" t="s">
        <v>40</v>
      </c>
      <c r="B14" s="23">
        <v>35</v>
      </c>
    </row>
    <row r="15" spans="1:2">
      <c r="A15" s="1" t="s">
        <v>84</v>
      </c>
      <c r="B15" s="23">
        <v>190</v>
      </c>
    </row>
    <row r="16" spans="1:2">
      <c r="A16" s="1" t="s">
        <v>42</v>
      </c>
      <c r="B16" s="23">
        <v>220</v>
      </c>
    </row>
    <row r="17" spans="1:2">
      <c r="A17" s="1" t="s">
        <v>86</v>
      </c>
      <c r="B17" s="23">
        <v>140</v>
      </c>
    </row>
    <row r="18" spans="1:2">
      <c r="A18" s="1" t="s">
        <v>44</v>
      </c>
      <c r="B18" s="23">
        <v>900</v>
      </c>
    </row>
    <row r="19" spans="1:2">
      <c r="A19" s="1" t="s">
        <v>88</v>
      </c>
      <c r="B19" s="23">
        <v>35</v>
      </c>
    </row>
    <row r="20" spans="1:2">
      <c r="A20" s="1" t="s">
        <v>46</v>
      </c>
      <c r="B20" s="23">
        <v>55</v>
      </c>
    </row>
    <row r="21" spans="1:2">
      <c r="A21" s="1" t="s">
        <v>90</v>
      </c>
      <c r="B21" s="23">
        <v>60</v>
      </c>
    </row>
    <row r="22" spans="1:2">
      <c r="A22" s="1" t="s">
        <v>48</v>
      </c>
      <c r="B22" s="23">
        <v>180</v>
      </c>
    </row>
    <row r="23" spans="1:2">
      <c r="A23" s="1" t="s">
        <v>92</v>
      </c>
      <c r="B23" s="23">
        <v>270</v>
      </c>
    </row>
    <row r="24" spans="1:2">
      <c r="A24" s="1" t="s">
        <v>50</v>
      </c>
      <c r="B24" s="23">
        <v>1200</v>
      </c>
    </row>
    <row r="25" spans="1:2">
      <c r="A25" s="1" t="s">
        <v>52</v>
      </c>
      <c r="B25" s="23">
        <v>95</v>
      </c>
    </row>
    <row r="26" spans="1:2">
      <c r="A26" s="1" t="s">
        <v>54</v>
      </c>
      <c r="B26" s="23">
        <v>700</v>
      </c>
    </row>
    <row r="27" spans="1:2">
      <c r="A27" s="1" t="s">
        <v>56</v>
      </c>
      <c r="B27" s="23">
        <v>500</v>
      </c>
    </row>
    <row r="28" spans="1:2">
      <c r="A28" s="1" t="s">
        <v>58</v>
      </c>
      <c r="B28" s="23">
        <v>110</v>
      </c>
    </row>
    <row r="29" spans="1:2">
      <c r="A29" s="1" t="s">
        <v>60</v>
      </c>
      <c r="B29" s="23">
        <v>210</v>
      </c>
    </row>
    <row r="30" spans="1:2">
      <c r="A30" s="2">
        <v>45293</v>
      </c>
      <c r="B30" s="23">
        <v>450</v>
      </c>
    </row>
    <row r="31" spans="1:2">
      <c r="A31" s="2">
        <v>45294</v>
      </c>
      <c r="B31" s="23">
        <v>430</v>
      </c>
    </row>
    <row r="32" spans="1:2">
      <c r="A32" s="2">
        <v>45324</v>
      </c>
      <c r="B32" s="23">
        <v>120</v>
      </c>
    </row>
    <row r="33" spans="1:2">
      <c r="A33" s="2">
        <v>45325</v>
      </c>
      <c r="B33" s="23">
        <v>25</v>
      </c>
    </row>
    <row r="34" spans="1:2">
      <c r="A34" s="2">
        <v>45353</v>
      </c>
      <c r="B34" s="23">
        <v>80</v>
      </c>
    </row>
    <row r="35" spans="1:2">
      <c r="A35" s="2">
        <v>45354</v>
      </c>
      <c r="B35" s="23">
        <v>550</v>
      </c>
    </row>
    <row r="36" spans="1:2">
      <c r="A36" s="2">
        <v>45384</v>
      </c>
      <c r="B36" s="23">
        <v>150</v>
      </c>
    </row>
    <row r="37" spans="1:2">
      <c r="A37" s="2">
        <v>45385</v>
      </c>
      <c r="B37" s="23">
        <v>300</v>
      </c>
    </row>
    <row r="38" spans="1:2">
      <c r="A38" s="2">
        <v>45414</v>
      </c>
      <c r="B38" s="23">
        <v>700</v>
      </c>
    </row>
    <row r="39" spans="1:2">
      <c r="A39" s="2">
        <v>45415</v>
      </c>
      <c r="B39" s="23">
        <v>45</v>
      </c>
    </row>
    <row r="40" spans="1:2">
      <c r="A40" s="2">
        <v>45445</v>
      </c>
      <c r="B40" s="23">
        <v>60</v>
      </c>
    </row>
    <row r="41" spans="1:2">
      <c r="A41" s="2">
        <v>45446</v>
      </c>
      <c r="B41" s="23">
        <v>260</v>
      </c>
    </row>
    <row r="42" spans="1:2">
      <c r="A42" s="2">
        <v>45475</v>
      </c>
      <c r="B42" s="23">
        <v>200</v>
      </c>
    </row>
    <row r="43" spans="1:2">
      <c r="A43" s="2">
        <v>45476</v>
      </c>
      <c r="B43" s="23">
        <v>340</v>
      </c>
    </row>
    <row r="44" spans="1:2">
      <c r="A44" s="2">
        <v>45506</v>
      </c>
      <c r="B44" s="23">
        <v>550</v>
      </c>
    </row>
    <row r="45" spans="1:2">
      <c r="A45" s="2">
        <v>45507</v>
      </c>
      <c r="B45" s="23">
        <v>30</v>
      </c>
    </row>
    <row r="46" spans="1:2">
      <c r="A46" s="2">
        <v>45537</v>
      </c>
      <c r="B46" s="23">
        <v>40</v>
      </c>
    </row>
    <row r="47" spans="1:2">
      <c r="A47" s="2">
        <v>45538</v>
      </c>
      <c r="B47" s="23">
        <v>480</v>
      </c>
    </row>
    <row r="48" spans="1:2">
      <c r="A48" s="2">
        <v>45567</v>
      </c>
      <c r="B48" s="23">
        <v>600</v>
      </c>
    </row>
    <row r="49" spans="1:2">
      <c r="A49" s="2">
        <v>45568</v>
      </c>
      <c r="B49" s="23">
        <v>390</v>
      </c>
    </row>
    <row r="50" spans="1:2">
      <c r="A50" s="2">
        <v>45598</v>
      </c>
      <c r="B50" s="23">
        <v>350</v>
      </c>
    </row>
    <row r="51" spans="1:2">
      <c r="A51" s="2">
        <v>45599</v>
      </c>
      <c r="B51" s="23">
        <v>75</v>
      </c>
    </row>
    <row r="52" spans="1:2">
      <c r="A52" s="2">
        <v>45628</v>
      </c>
      <c r="B52" s="23">
        <v>90</v>
      </c>
    </row>
    <row r="53" spans="1:2">
      <c r="A53" s="2">
        <v>45629</v>
      </c>
      <c r="B53" s="23">
        <v>220</v>
      </c>
    </row>
    <row r="54" spans="1:2">
      <c r="A54" s="1" t="s">
        <v>96</v>
      </c>
      <c r="B54" s="23"/>
    </row>
    <row r="55" spans="1:2">
      <c r="A55" s="1" t="s">
        <v>97</v>
      </c>
      <c r="B55" s="23">
        <v>14743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C0C5-D9BD-4E41-92F1-FB147A459287}">
  <sheetPr>
    <tabColor theme="2" tint="-0.249977111117893"/>
  </sheetPr>
  <dimension ref="E3:P11"/>
  <sheetViews>
    <sheetView workbookViewId="0">
      <selection activeCell="J11" sqref="J11"/>
    </sheetView>
  </sheetViews>
  <sheetFormatPr defaultRowHeight="15"/>
  <sheetData>
    <row r="3" spans="5:16">
      <c r="E3" s="27" t="s">
        <v>100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5:16"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5:16"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5:16"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9" spans="5:16">
      <c r="H9" s="1"/>
      <c r="I9" s="3" t="s">
        <v>5</v>
      </c>
      <c r="J9" s="20">
        <v>14743</v>
      </c>
    </row>
    <row r="10" spans="5:16">
      <c r="H10" s="3" t="s">
        <v>99</v>
      </c>
      <c r="I10" s="21" t="s">
        <v>6</v>
      </c>
      <c r="J10" s="20">
        <v>3281</v>
      </c>
    </row>
    <row r="11" spans="5:16">
      <c r="H11" s="1"/>
      <c r="I11" s="3" t="s">
        <v>7</v>
      </c>
      <c r="J11" s="19">
        <v>11462</v>
      </c>
    </row>
  </sheetData>
  <mergeCells count="1">
    <mergeCell ref="E3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2026-03-16T13:02:39Z</dcterms:created>
  <dcterms:modified xsi:type="dcterms:W3CDTF">2026-03-16T16:43:05Z</dcterms:modified>
  <cp:category/>
  <cp:contentStatus/>
</cp:coreProperties>
</file>